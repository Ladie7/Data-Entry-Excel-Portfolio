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defaultThemeVersion="166925"/>
  <xr:revisionPtr revIDLastSave="0" documentId="8_{88B30EA9-25CF-44FE-9B0F-24E129F167D5}" xr6:coauthVersionLast="47" xr6:coauthVersionMax="47" xr10:uidLastSave="{00000000-0000-0000-0000-000000000000}"/>
  <bookViews>
    <workbookView xWindow="240" yWindow="105" windowWidth="14805" windowHeight="8010" xr2:uid="{00000000-000D-0000-FFFF-FFFF00000000}"/>
  </bookViews>
  <sheets>
    <sheet name="Data Entry" sheetId="1" r:id="rId1"/>
    <sheet name="Data Validation Lists" sheetId="2" r:id="rId2"/>
    <sheet name="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3" l="1"/>
  <c r="B5" i="3"/>
  <c r="B4" i="3"/>
  <c r="B3" i="3"/>
  <c r="J3" i="2" a="1"/>
  <c r="J3" i="2"/>
  <c r="I6" i="1"/>
  <c r="I7" i="1"/>
  <c r="I8" i="1"/>
  <c r="I9" i="1"/>
  <c r="I10" i="1"/>
  <c r="I11" i="1"/>
  <c r="I12" i="1"/>
  <c r="I13" i="1"/>
  <c r="I14" i="1"/>
  <c r="I15" i="1"/>
  <c r="I16" i="1"/>
  <c r="I17" i="1"/>
  <c r="I18" i="1"/>
  <c r="I19" i="1"/>
  <c r="I20" i="1"/>
  <c r="I21" i="1"/>
  <c r="I22" i="1"/>
  <c r="I23" i="1"/>
  <c r="I24" i="1"/>
  <c r="I25" i="1"/>
  <c r="I26" i="1"/>
  <c r="I27" i="1"/>
  <c r="I28" i="1"/>
  <c r="I29" i="1"/>
  <c r="I30" i="1"/>
  <c r="I31" i="1"/>
  <c r="I3" i="1"/>
  <c r="I4" i="1"/>
  <c r="I5" i="1"/>
  <c r="I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0"/>
        </ext>
      </extLst>
    </bk>
    <bk>
      <extLst>
        <ext uri="{3e2802c4-a4d2-4d8b-9148-e3be6c30e623}">
          <xlrd:rvb i="95"/>
        </ext>
      </extLst>
    </bk>
    <bk>
      <extLst>
        <ext uri="{3e2802c4-a4d2-4d8b-9148-e3be6c30e623}">
          <xlrd:rvb i="140"/>
        </ext>
      </extLst>
    </bk>
    <bk>
      <extLst>
        <ext uri="{3e2802c4-a4d2-4d8b-9148-e3be6c30e623}">
          <xlrd:rvb i="198"/>
        </ext>
      </extLst>
    </bk>
    <bk>
      <extLst>
        <ext uri="{3e2802c4-a4d2-4d8b-9148-e3be6c30e623}">
          <xlrd:rvb i="268"/>
        </ext>
      </extLst>
    </bk>
    <bk>
      <extLst>
        <ext uri="{3e2802c4-a4d2-4d8b-9148-e3be6c30e623}">
          <xlrd:rvb i="323"/>
        </ext>
      </extLst>
    </bk>
    <bk>
      <extLst>
        <ext uri="{3e2802c4-a4d2-4d8b-9148-e3be6c30e623}">
          <xlrd:rvb i="370"/>
        </ext>
      </extLst>
    </bk>
    <bk>
      <extLst>
        <ext uri="{3e2802c4-a4d2-4d8b-9148-e3be6c30e623}">
          <xlrd:rvb i="441"/>
        </ext>
      </extLst>
    </bk>
    <bk>
      <extLst>
        <ext uri="{3e2802c4-a4d2-4d8b-9148-e3be6c30e623}">
          <xlrd:rvb i="492"/>
        </ext>
      </extLst>
    </bk>
  </futureMetadata>
  <cellMetadata count="1">
    <bk>
      <rc t="1" v="0"/>
    </bk>
  </cellMetadata>
  <valueMetadata count="9">
    <bk>
      <rc t="2" v="0"/>
    </bk>
    <bk>
      <rc t="2" v="1"/>
    </bk>
    <bk>
      <rc t="2" v="2"/>
    </bk>
    <bk>
      <rc t="2" v="3"/>
    </bk>
    <bk>
      <rc t="2" v="4"/>
    </bk>
    <bk>
      <rc t="2" v="5"/>
    </bk>
    <bk>
      <rc t="2" v="6"/>
    </bk>
    <bk>
      <rc t="2" v="7"/>
    </bk>
    <bk>
      <rc t="2" v="8"/>
    </bk>
  </valueMetadata>
</metadata>
</file>

<file path=xl/sharedStrings.xml><?xml version="1.0" encoding="utf-8"?>
<sst xmlns="http://schemas.openxmlformats.org/spreadsheetml/2006/main" count="171" uniqueCount="140">
  <si>
    <t>Record ID</t>
  </si>
  <si>
    <t>Full Name</t>
  </si>
  <si>
    <t>Email</t>
  </si>
  <si>
    <t>Phone</t>
  </si>
  <si>
    <t>Region</t>
  </si>
  <si>
    <t>Product</t>
  </si>
  <si>
    <t>Quantity</t>
  </si>
  <si>
    <t>Unit Price</t>
  </si>
  <si>
    <t>Total</t>
  </si>
  <si>
    <t>REC-001</t>
  </si>
  <si>
    <t>Ahmed Benali</t>
  </si>
  <si>
    <t>ahmed.benali@gmail.com</t>
  </si>
  <si>
    <t>+213501234501</t>
  </si>
  <si>
    <t>Wireless Mouse</t>
  </si>
  <si>
    <t>REC-002</t>
  </si>
  <si>
    <t>sara mansouri</t>
  </si>
  <si>
    <t>sara.mansouri@gmail.com</t>
  </si>
  <si>
    <t>+96551234502</t>
  </si>
  <si>
    <t>Keyboard</t>
  </si>
  <si>
    <t>REC-003</t>
  </si>
  <si>
    <t>Yacine Haddad</t>
  </si>
  <si>
    <t>yacine.haddad@gmail.com</t>
  </si>
  <si>
    <t>+962791234503</t>
  </si>
  <si>
    <t>REC-004</t>
  </si>
  <si>
    <t>Lina Amari</t>
  </si>
  <si>
    <t>lina.amari@gmail.com</t>
  </si>
  <si>
    <t>+216201234504</t>
  </si>
  <si>
    <t>REC-005</t>
  </si>
  <si>
    <t>Karim Bensalem</t>
  </si>
  <si>
    <t>karim.bensalem@gmail.com</t>
  </si>
  <si>
    <t>+971501234505</t>
  </si>
  <si>
    <t>Notebook</t>
  </si>
  <si>
    <t>REC-006</t>
  </si>
  <si>
    <t>Nadia Merabet</t>
  </si>
  <si>
    <t>Nadia.Merabet@gmail.com</t>
  </si>
  <si>
    <t>+97433124506</t>
  </si>
  <si>
    <t>REC-007</t>
  </si>
  <si>
    <t>Samir Touati</t>
  </si>
  <si>
    <t>samir.touati@gmail.com</t>
  </si>
  <si>
    <t>+962791234507</t>
  </si>
  <si>
    <t>Desk Lamp</t>
  </si>
  <si>
    <t>REC-008</t>
  </si>
  <si>
    <t>Amel Khelifi</t>
  </si>
  <si>
    <t>Amel.Khelifi@gmail.com</t>
  </si>
  <si>
    <t>+97433124508</t>
  </si>
  <si>
    <t>Laptop Stand</t>
  </si>
  <si>
    <t>REC-009</t>
  </si>
  <si>
    <t>Walid Cherif</t>
  </si>
  <si>
    <t>walid.cherif@gmail.com</t>
  </si>
  <si>
    <t>+201012344509</t>
  </si>
  <si>
    <t>REC-010</t>
  </si>
  <si>
    <t>Yasmine Rahmani</t>
  </si>
  <si>
    <t>yasmine.rahmani@gmail.com</t>
  </si>
  <si>
    <t>+201012344510</t>
  </si>
  <si>
    <t>REC-011</t>
  </si>
  <si>
    <t>Sofiane Belkacem</t>
  </si>
  <si>
    <t>sofiane.belkacem@gmail.com</t>
  </si>
  <si>
    <t>+213501234511</t>
  </si>
  <si>
    <t>REC-012</t>
  </si>
  <si>
    <t>Ines Hadjiri</t>
  </si>
  <si>
    <t>ines.hadjiri@gmail.com</t>
  </si>
  <si>
    <t>+213501234512</t>
  </si>
  <si>
    <t>REC-013</t>
  </si>
  <si>
    <t>Mourad Saidi</t>
  </si>
  <si>
    <t>Mourad.Saidi@gmail.com</t>
  </si>
  <si>
    <t>+96551234513</t>
  </si>
  <si>
    <t>REC-014</t>
  </si>
  <si>
    <t>Sara Benyahia</t>
  </si>
  <si>
    <t>Sara.Benyahia@gmail.com</t>
  </si>
  <si>
    <t>+96551234514</t>
  </si>
  <si>
    <t>REC-015</t>
  </si>
  <si>
    <t>Rachid Amroune</t>
  </si>
  <si>
    <t>rachid.amroune@gmail.com</t>
  </si>
  <si>
    <t>+97433124515</t>
  </si>
  <si>
    <t>REC-016</t>
  </si>
  <si>
    <t>Hiba Mansouri</t>
  </si>
  <si>
    <t>hiba.mansouri@gmail.com</t>
  </si>
  <si>
    <t>+97433124516</t>
  </si>
  <si>
    <t>REC-017</t>
  </si>
  <si>
    <t>Adel Zerrouki</t>
  </si>
  <si>
    <t>adel.zerrouki@gmail.com</t>
  </si>
  <si>
    <t>+216201234517</t>
  </si>
  <si>
    <t>REC-018</t>
  </si>
  <si>
    <t>Meriem Haddad</t>
  </si>
  <si>
    <t>meriem.haddad@gmail.com</t>
  </si>
  <si>
    <t>+962791234518</t>
  </si>
  <si>
    <t>REC-019</t>
  </si>
  <si>
    <t>Bilal Amari</t>
  </si>
  <si>
    <t>bilal.amari@gmail.com</t>
  </si>
  <si>
    <t>+971501234519</t>
  </si>
  <si>
    <t>REC-020</t>
  </si>
  <si>
    <t>Leila Boudiaf</t>
  </si>
  <si>
    <t>leila.boudiaf@gmail.com</t>
  </si>
  <si>
    <t>+971501234520</t>
  </si>
  <si>
    <t>REC-021</t>
  </si>
  <si>
    <t>Nabil Ferhat</t>
  </si>
  <si>
    <t>nabil.ferhat@gmail.com</t>
  </si>
  <si>
    <t>+97433124521</t>
  </si>
  <si>
    <t>REC-022</t>
  </si>
  <si>
    <t>Amina Saidi</t>
  </si>
  <si>
    <t>amina.saidi@gmail.com</t>
  </si>
  <si>
    <t>+213501234522</t>
  </si>
  <si>
    <t>REC-023</t>
  </si>
  <si>
    <t>Youcef Kaci</t>
  </si>
  <si>
    <t>youcef.kaci@gmail.com</t>
  </si>
  <si>
    <t>+201012344523</t>
  </si>
  <si>
    <t>REC-024</t>
  </si>
  <si>
    <t>Salima Ghezali</t>
  </si>
  <si>
    <t>salima.ghezali@gmail.com</t>
  </si>
  <si>
    <t>+96551234524</t>
  </si>
  <si>
    <t>REC-025</t>
  </si>
  <si>
    <t>Anis Belhadj</t>
  </si>
  <si>
    <t>anis.belhadj@gmail.com</t>
  </si>
  <si>
    <t>+213501234525</t>
  </si>
  <si>
    <t>REC-026</t>
  </si>
  <si>
    <t>Wiam Mokhtar</t>
  </si>
  <si>
    <t>wiam.mokhtar@gmail.com</t>
  </si>
  <si>
    <t>+216201234526</t>
  </si>
  <si>
    <t>REC-027</t>
  </si>
  <si>
    <t>Farid Benamar</t>
  </si>
  <si>
    <t>farid.benamar@gmail.com</t>
  </si>
  <si>
    <t>+962791234527</t>
  </si>
  <si>
    <t>REC-028</t>
  </si>
  <si>
    <t>Lynda Ait Ali</t>
  </si>
  <si>
    <t>lyndaaitali@gmail.com</t>
  </si>
  <si>
    <t>+201012344528</t>
  </si>
  <si>
    <t>REC-029</t>
  </si>
  <si>
    <t>Ismail Rahal</t>
  </si>
  <si>
    <t>ismail.rahal@gmail.co.</t>
  </si>
  <si>
    <t>+201012344529</t>
  </si>
  <si>
    <t>REC-030</t>
  </si>
  <si>
    <t>Hanane Bekkouche</t>
  </si>
  <si>
    <t>hanane.bekkouche@gmail.com</t>
  </si>
  <si>
    <t>+213501234530</t>
  </si>
  <si>
    <t>Products</t>
  </si>
  <si>
    <t>Data Entry Summary</t>
  </si>
  <si>
    <t>Total Records</t>
  </si>
  <si>
    <t>Total Quantity</t>
  </si>
  <si>
    <t>Total Sales Value</t>
  </si>
  <si>
    <t>Average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</si>
</sst>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font>
      <sz val="11"/>
      <color theme="1"/>
      <name val="Calibri"/>
      <family val="2"/>
      <scheme val="minor"/>
    </font>
    <font>
      <u/>
      <sz val="11"/>
      <color theme="10"/>
      <name val="Calibri"/>
      <family val="2"/>
      <scheme val="minor"/>
    </font>
    <font>
      <b/>
      <sz val="11"/>
      <color theme="1"/>
      <name val="Constantia"/>
    </font>
    <font>
      <sz val="12"/>
      <color theme="1"/>
      <name val="Calibri"/>
      <family val="2"/>
      <scheme val="minor"/>
    </font>
    <font>
      <sz val="16"/>
      <color theme="1"/>
      <name val="Calibri"/>
      <family val="2"/>
      <scheme val="minor"/>
    </font>
    <font>
      <b/>
      <i/>
      <sz val="26"/>
      <color theme="1"/>
      <name val="Century"/>
    </font>
    <font>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0" xfId="0" applyFont="1"/>
    <xf numFmtId="49" fontId="0" fillId="0" borderId="0" xfId="0" applyNumberFormat="1"/>
    <xf numFmtId="164" fontId="0" fillId="0" borderId="0" xfId="0" applyNumberFormat="1"/>
    <xf numFmtId="0" fontId="3" fillId="0" borderId="0" xfId="0" applyFont="1"/>
    <xf numFmtId="0" fontId="4" fillId="0" borderId="0" xfId="0" applyFont="1"/>
    <xf numFmtId="0" fontId="5" fillId="0" borderId="0" xfId="0" applyFont="1"/>
    <xf numFmtId="0" fontId="6" fillId="0" borderId="0" xfId="1" applyFont="1"/>
    <xf numFmtId="0" fontId="0" fillId="0" borderId="0" xfId="0" applyAlignment="1"/>
  </cellXfs>
  <cellStyles count="2">
    <cellStyle name="Hyperlink" xfId="1" builtinId="8"/>
    <cellStyle name="Normal" xfId="0" builtinId="0"/>
  </cellStyles>
  <dxfs count="4">
    <dxf>
      <numFmt numFmtId="164" formatCode="&quot;$&quot;#,##0"/>
    </dxf>
    <dxf>
      <numFmt numFmtId="1" formatCode="0"/>
    </dxf>
    <dxf>
      <font>
        <u val="none"/>
      </font>
    </dxf>
    <dxf>
      <font>
        <b/>
        <i val="0"/>
        <strike val="0"/>
        <condense val="0"/>
        <extend val="0"/>
        <outline val="0"/>
        <shadow val="0"/>
        <u val="none"/>
        <vertAlign val="baseline"/>
        <sz val="11"/>
        <color theme="1"/>
        <name val="Constantia"/>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Tunisia" TargetMode="External"/><Relationship Id="rId13" Type="http://schemas.openxmlformats.org/officeDocument/2006/relationships/hyperlink" Target="https://www.bing.com/th?id=OSK.aFmksGuOlaZVjs8Inwy3b0F7kY5MyztW8BXjKDGBm4E&amp;qlt=95" TargetMode="External"/><Relationship Id="rId18" Type="http://schemas.openxmlformats.org/officeDocument/2006/relationships/hyperlink" Target="https://www.bing.com/images/search?form=xlimg&amp;q=Syria" TargetMode="External"/><Relationship Id="rId3" Type="http://schemas.openxmlformats.org/officeDocument/2006/relationships/hyperlink" Target="https://www.bing.com/th?id=OSK.47cf87ec19bdd5a153131a95ec7c041e&amp;qlt=95" TargetMode="External"/><Relationship Id="rId7" Type="http://schemas.openxmlformats.org/officeDocument/2006/relationships/hyperlink" Target="https://www.bing.com/th?id=OSK.STt0Q4PUMveGl1BNsQhD9VkxQB_J0YoV30t4FahmAVA&amp;qlt=95" TargetMode="External"/><Relationship Id="rId12" Type="http://schemas.openxmlformats.org/officeDocument/2006/relationships/hyperlink" Target="https://www.bing.com/images/search?form=xlimg&amp;q=Qatar" TargetMode="External"/><Relationship Id="rId17" Type="http://schemas.openxmlformats.org/officeDocument/2006/relationships/hyperlink" Target="https://www.bing.com/th?id=OSK.WHWaH0xGr2CNv9KDPIJZfX5Z-Tj1EHh0HLPKxx7zUjs&amp;qlt=95" TargetMode="External"/><Relationship Id="rId2" Type="http://schemas.openxmlformats.org/officeDocument/2006/relationships/hyperlink" Target="https://www.bing.com/images/search?form=xlimg&amp;q=Algeria" TargetMode="External"/><Relationship Id="rId16" Type="http://schemas.openxmlformats.org/officeDocument/2006/relationships/hyperlink" Target="https://www.bing.com/images/search?form=xlimg&amp;q=Saudi%20Arabia" TargetMode="External"/><Relationship Id="rId1" Type="http://schemas.openxmlformats.org/officeDocument/2006/relationships/hyperlink" Target="https://www.bing.com/th?id=OSK.d-K-hijY9gu-ou5VdXi4AFjai_7V-HGPL9gj7VdWXM4&amp;qlt=95" TargetMode="External"/><Relationship Id="rId6" Type="http://schemas.openxmlformats.org/officeDocument/2006/relationships/hyperlink" Target="https://www.bing.com/images/search?form=xlimg&amp;q=Jordan" TargetMode="External"/><Relationship Id="rId11" Type="http://schemas.openxmlformats.org/officeDocument/2006/relationships/hyperlink" Target="https://www.bing.com/th?id=OSK.2otctuKZkXOVPYFH6c6K-1-4HSo7pMGQVUzBrIwsxNY&amp;qlt=95" TargetMode="External"/><Relationship Id="rId5" Type="http://schemas.openxmlformats.org/officeDocument/2006/relationships/hyperlink" Target="https://www.bing.com/th?id=OSK.0I27FHkRXejgwOREWNUagfzVdvljavmS2XHy2430qVw&amp;qlt=95" TargetMode="External"/><Relationship Id="rId15" Type="http://schemas.openxmlformats.org/officeDocument/2006/relationships/hyperlink" Target="https://www.bing.com/th?id=OSK.AjtPUiGh_f7msRX79aSUTlTjdGo4tvWvBkVlpEMTfoI&amp;qlt=95" TargetMode="External"/><Relationship Id="rId10" Type="http://schemas.openxmlformats.org/officeDocument/2006/relationships/hyperlink" Target="https://www.bing.com/images/search?form=xlimg&amp;q=United%20Arab%20Emirates" TargetMode="External"/><Relationship Id="rId4" Type="http://schemas.openxmlformats.org/officeDocument/2006/relationships/hyperlink" Target="https://www.bing.com/images/search?form=xlimg&amp;q=Kuwait" TargetMode="External"/><Relationship Id="rId9" Type="http://schemas.openxmlformats.org/officeDocument/2006/relationships/hyperlink" Target="https://www.bing.com/th?id=OSK.-SxRSc6TaZzSoIuQWwy-Tj0jmO1pjscJ4QsyiMcNIVE&amp;qlt=95" TargetMode="External"/><Relationship Id="rId1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richData/rdarray.xml><?xml version="1.0" encoding="utf-8"?>
<arrayData xmlns="http://schemas.microsoft.com/office/spreadsheetml/2017/richdata2" count="27">
  <a r="2">
    <v t="r">20</v>
    <v t="r">21</v>
  </a>
  <a r="2">
    <v t="s">Modern Standard Arabic</v>
    <v t="s">Standard Algerian Amazigh</v>
  </a>
  <a r="48">
    <v t="r">40</v>
    <v t="r">41</v>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a>
  <a r="1">
    <v t="s">Africa/Algiers</v>
  </a>
  <a r="2">
    <v t="r">115</v>
    <v t="r">116</v>
  </a>
  <a r="1">
    <v t="s">Modern Standard Arabic</v>
  </a>
  <a r="6">
    <v t="r">127</v>
    <v t="r">128</v>
    <v t="r">129</v>
    <v t="r">130</v>
    <v t="r">131</v>
    <v t="r">132</v>
  </a>
  <a r="1">
    <v t="s">Asia/Kuwait</v>
  </a>
  <a r="2">
    <v t="r">160</v>
    <v t="r">161</v>
  </a>
  <a r="12">
    <v t="r">179</v>
    <v t="r">180</v>
    <v t="r">181</v>
    <v t="r">182</v>
    <v t="r">183</v>
    <v t="r">184</v>
    <v t="r">185</v>
    <v t="r">186</v>
    <v t="r">187</v>
    <v t="r">188</v>
    <v t="r">189</v>
    <v t="r">190</v>
  </a>
  <a r="2">
    <v t="s">UTC+03:00</v>
    <v t="s">UTC+02:00</v>
  </a>
  <a r="2">
    <v t="r">218</v>
    <v t="r">219</v>
  </a>
  <a r="24">
    <v t="r">237</v>
    <v t="r">238</v>
    <v t="r">239</v>
    <v t="r">240</v>
    <v t="r">241</v>
    <v t="r">242</v>
    <v t="r">243</v>
    <v t="r">244</v>
    <v t="r">245</v>
    <v t="r">246</v>
    <v t="r">247</v>
    <v t="r">248</v>
    <v t="r">249</v>
    <v t="r">250</v>
    <v t="r">251</v>
    <v t="r">252</v>
    <v t="r">253</v>
    <v t="r">254</v>
    <v t="r">255</v>
    <v t="r">256</v>
    <v t="r">257</v>
    <v t="r">258</v>
    <v t="r">259</v>
    <v t="r">260</v>
  </a>
  <a r="1">
    <v t="s">Africa/Tunis</v>
  </a>
  <a r="6">
    <v t="r">289</v>
    <v t="r">290</v>
    <v t="r">291</v>
    <v t="r">292</v>
    <v t="r">293</v>
    <v t="r">294</v>
  </a>
  <a r="5">
    <v t="r">311</v>
    <v t="r">312</v>
    <v t="r">313</v>
    <v t="r">314</v>
    <v t="r">315</v>
  </a>
  <a r="1">
    <v t="s">UTC+04:00</v>
  </a>
  <a r="3">
    <v t="r">343</v>
    <v t="r">344</v>
    <v t="r">345</v>
  </a>
  <a r="1">
    <v t="s">Arabic</v>
  </a>
  <a r="7">
    <v t="r">356</v>
    <v t="r">357</v>
    <v t="r">358</v>
    <v t="r">359</v>
    <v t="r">360</v>
    <v t="r">361</v>
    <v t="r">362</v>
  </a>
  <a r="1">
    <v t="s">UTC+03:00</v>
  </a>
  <a r="2">
    <v t="r">389</v>
    <v t="r">390</v>
  </a>
  <a r="28">
    <v t="r">407</v>
    <v t="r">408</v>
    <v t="r">409</v>
    <v t="r">410</v>
    <v t="r">411</v>
    <v t="r">412</v>
    <v t="r">413</v>
    <v t="r">414</v>
    <v t="r">415</v>
    <v t="r">416</v>
    <v t="r">417</v>
    <v t="r">418</v>
    <v t="r">419</v>
    <v t="r">420</v>
    <v t="r">421</v>
    <v t="r">422</v>
    <v t="r">423</v>
    <v t="r">424</v>
    <v t="r">425</v>
    <v t="r">426</v>
    <v t="r">427</v>
    <v t="r">428</v>
    <v t="r">429</v>
    <v t="r">430</v>
    <v t="r">431</v>
    <v t="r">432</v>
    <v t="r">433</v>
    <v t="r">434</v>
  </a>
  <a r="2">
    <v t="r">461</v>
    <v t="r">462</v>
  </a>
  <a r="13">
    <v t="r">473</v>
    <v t="r">474</v>
    <v t="r">475</v>
    <v t="r">476</v>
    <v t="r">477</v>
    <v t="r">478</v>
    <v t="r">479</v>
    <v t="r">480</v>
    <v t="r">481</v>
    <v t="r">482</v>
    <v t="r">483</v>
    <v t="r">484</v>
    <v t="r">485</v>
  </a>
  <a r="2">
    <v t="r">512</v>
    <v t="r">513</v>
  </a>
  <a r="14">
    <v t="r">528</v>
    <v t="r">529</v>
    <v t="r">530</v>
    <v t="r">531</v>
    <v t="r">532</v>
    <v t="r">533</v>
    <v t="r">534</v>
    <v t="r">535</v>
    <v t="r">536</v>
    <v t="r">537</v>
    <v t="r">538</v>
    <v t="r">539</v>
    <v t="r">540</v>
    <v t="r">541</v>
  </a>
</arrayData>
</file>

<file path=xl/richData/rdrichvalue.xml><?xml version="1.0" encoding="utf-8"?>
<rvData xmlns="http://schemas.microsoft.com/office/spreadsheetml/2017/richdata" count="548">
  <rv s="0">
    <v>536870912</v>
    <v>Algeria</v>
    <v>9670a4ec-16dd-f8c8-9fa8-4a541682532b</v>
    <v>en-US</v>
    <v>Map</v>
  </rv>
  <rv s="1">
    <fb>0.17365539151523698</fb>
    <v>23</v>
  </rv>
  <rv s="1">
    <fb>2381741</fb>
    <v>24</v>
  </rv>
  <rv s="1">
    <fb>317000</fb>
    <v>24</v>
  </rv>
  <rv s="1">
    <fb>24.282</fb>
    <v>25</v>
  </rv>
  <rv s="1">
    <fb>213</fb>
    <v>26</v>
  </rv>
  <rv s="0">
    <v>536870912</v>
    <v>Algiers</v>
    <v>4ae67151-d610-04af-dcbe-ab5836a4ec9a</v>
    <v>en-US</v>
    <v>Map</v>
  </rv>
  <rv s="1">
    <fb>150005.96900000001</fb>
    <v>24</v>
  </rv>
  <rv s="1">
    <fb>151.36166776774601</fb>
    <v>27</v>
  </rv>
  <rv s="1">
    <fb>1.95176821052894E-2</fb>
    <v>23</v>
  </rv>
  <rv s="1">
    <fb>1362.87191909646</fb>
    <v>24</v>
  </rv>
  <rv s="1">
    <fb>3.0230000000000001</fb>
    <v>25</v>
  </rv>
  <rv s="1">
    <fb>8.2443926523715402E-3</fb>
    <v>23</v>
  </rv>
  <rv s="1">
    <fb>99.977916720160493</fb>
    <v>28</v>
  </rv>
  <rv s="1">
    <fb>0.28000000000000003</fb>
    <v>29</v>
  </rv>
  <rv s="1">
    <fb>169988236398.12601</fb>
    <v>30</v>
  </rv>
  <rv s="1">
    <fb>1.0988282</fb>
    <v>23</v>
  </rv>
  <rv s="1">
    <fb>0.51365669999999997</fb>
    <v>23</v>
  </rv>
  <rv s="2">
    <v>0</v>
    <v>21</v>
    <v>2</v>
    <v>7</v>
    <v>0</v>
    <v>Image of Algeria</v>
  </rv>
  <rv s="1">
    <fb>20.100000000000001</fb>
    <v>28</v>
  </rv>
  <rv s="0">
    <v>805306368</v>
    <v>Abdelmadjid Tebboune (President)</v>
    <v>436c70fd-cb2e-c836-8892-66d5579a3e0d</v>
    <v>en-US</v>
    <v>Generic</v>
  </rv>
  <rv s="0">
    <v>805306368</v>
    <v>Sifi Ghrieb (Prime minister)</v>
    <v>f86e9d8d-d0c8-bbd3-cffc-f0a66417a2e9</v>
    <v>en-US</v>
    <v>Generic</v>
  </rv>
  <rv s="3">
    <v>0</v>
  </rv>
  <rv s="4">
    <v>https://www.bing.com/search?q=algeria&amp;form=skydnc</v>
    <v>Learn more on Bing</v>
  </rv>
  <rv s="1">
    <fb>76.692999999999998</fb>
    <v>28</v>
  </rv>
  <rv s="1">
    <fb>371418617.76844501</fb>
    <v>30</v>
  </rv>
  <rv s="1">
    <fb>112</fb>
    <v>28</v>
  </rv>
  <rv s="1">
    <fb>0.95</fb>
    <v>29</v>
  </rv>
  <rv s="3">
    <v>1</v>
  </rv>
  <rv s="1">
    <fb>0.2809868089</fb>
    <v>23</v>
  </rv>
  <rv s="1">
    <fb>1.7193000000000001</fb>
    <v>25</v>
  </rv>
  <rv s="1">
    <fb>47735685</fb>
    <v>24</v>
  </rv>
  <rv s="1">
    <fb>0.223</fb>
    <v>23</v>
  </rv>
  <rv s="1">
    <fb>0.22899999999999998</fb>
    <v>23</v>
  </rv>
  <rv s="1">
    <fb>0.37200000000000005</fb>
    <v>23</v>
  </rv>
  <rv s="1">
    <fb>0.04</fb>
    <v>23</v>
  </rv>
  <rv s="1">
    <fb>9.4E-2</fb>
    <v>23</v>
  </rv>
  <rv s="1">
    <fb>0.13699999999999998</fb>
    <v>23</v>
  </rv>
  <rv s="1">
    <fb>0.17499999999999999</fb>
    <v>23</v>
  </rv>
  <rv s="1">
    <fb>0.41150001525878899</fb>
    <v>23</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2</v>
  </rv>
  <rv s="1">
    <fb>0.37184736139700098</fb>
    <v>23</v>
  </rv>
  <rv s="3">
    <v>3</v>
  </rv>
  <rv s="1">
    <fb>0.66099999999999992</fb>
    <v>23</v>
  </rv>
  <rv s="1">
    <fb>0.11704000473022499</fb>
    <v>31</v>
  </rv>
  <rv s="1">
    <fb>31510100</fb>
    <v>24</v>
  </rv>
  <rv s="5">
    <v>#VALUE!</v>
    <v>en-US</v>
    <v>9670a4ec-16dd-f8c8-9fa8-4a541682532b</v>
    <v>536870912</v>
    <v>1</v>
    <v>16</v>
    <v>17</v>
    <v>Algeria</v>
    <v>19</v>
    <v>20</v>
    <v>Map</v>
    <v>21</v>
    <v>22</v>
    <v>DZ</v>
    <v>1</v>
    <v>2</v>
    <v>3</v>
    <v>4</v>
    <v>5</v>
    <v>6</v>
    <v>7</v>
    <v>8</v>
    <v>9</v>
    <v>DZD</v>
    <v>Algeria, officially the People's Democratic Republic of Algeria, is a country in the Maghreb region of North Africa. Spanning over 2,381,741 square kilometres, it is the largest country in Africa and the tenth largest in the world. It is ...</v>
    <v>10</v>
    <v>11</v>
    <v>12</v>
    <v>13</v>
    <v>14</v>
    <v>15</v>
    <v>16</v>
    <v>17</v>
    <v>18</v>
    <v>19</v>
    <v>6</v>
    <v>22</v>
    <v>23</v>
    <v>24</v>
    <v>25</v>
    <v>26</v>
    <v>27</v>
    <v>Algeria</v>
    <v>Kassaman</v>
    <v>28</v>
    <v>اَلْجُمهُورِيَّة اَلْجَزَائِرِيَّة اَلدِّيمُقرَاطِيَّة اَلشَّعبِيَّة</v>
    <v>29</v>
    <v>30</v>
    <v>31</v>
    <v>32</v>
    <v>33</v>
    <v>34</v>
    <v>35</v>
    <v>36</v>
    <v>37</v>
    <v>38</v>
    <v>39</v>
    <v>88</v>
    <v>89</v>
    <v>90</v>
    <v>91</v>
    <v>92</v>
    <v>Algeria</v>
    <v>93</v>
    <v>mdp/vdpid/4</v>
  </rv>
  <rv s="0">
    <v>536870912</v>
    <v>Kuwait</v>
    <v>75e8432f-5ecb-30f2-cbcb-664d801e3c97</v>
    <v>en-US</v>
    <v>Map</v>
  </rv>
  <rv s="1">
    <fb>8.4175084175084208E-2</fb>
    <v>23</v>
  </rv>
  <rv s="1">
    <fb>17818</fb>
    <v>24</v>
  </rv>
  <rv s="1">
    <fb>25000</fb>
    <v>24</v>
  </rv>
  <rv s="1">
    <fb>13.939</fb>
    <v>25</v>
  </rv>
  <rv s="1">
    <fb>965</fb>
    <v>26</v>
  </rv>
  <rv s="0">
    <v>536870912</v>
    <v>Kuwait City</v>
    <v>7bfd3d22-1a12-c33b-79ac-69c6e5412bfe</v>
    <v>en-US</v>
    <v>Map</v>
  </rv>
  <rv s="1">
    <fb>98733.975000000006</fb>
    <v>24</v>
  </rv>
  <rv s="1">
    <fb>126.60151211457401</fb>
    <v>27</v>
  </rv>
  <rv s="1">
    <fb>1.09184802655847E-2</fb>
    <v>23</v>
  </rv>
  <rv s="1">
    <fb>15590.599906473701</fb>
    <v>24</v>
  </rv>
  <rv s="1">
    <fb>2.0819999999999999</fb>
    <v>25</v>
  </rv>
  <rv s="1">
    <fb>3.5072951739618403E-3</fb>
    <v>23</v>
  </rv>
  <rv s="1">
    <fb>93.689889451270702</fb>
    <v>28</v>
  </rv>
  <rv s="1">
    <fb>0.35</fb>
    <v>29</v>
  </rv>
  <rv s="1">
    <fb>134761198945.98199</fb>
    <v>30</v>
  </rv>
  <rv s="1">
    <fb>0.9236027</fb>
    <v>23</v>
  </rv>
  <rv s="1">
    <fb>0.54364139999999994</fb>
    <v>23</v>
  </rv>
  <rv s="2">
    <v>1</v>
    <v>21</v>
    <v>33</v>
    <v>7</v>
    <v>0</v>
    <v>Image of Kuwait</v>
  </rv>
  <rv s="1">
    <fb>6.7</fb>
    <v>28</v>
  </rv>
  <rv s="0">
    <v>805306368</v>
    <v>Mishal Al-Ahmad Al-Jaber Al-Sabah (Emir)</v>
    <v>5cff83e0-1c26-2d6c-5a96-4894dce1ddf6</v>
    <v>en-US</v>
    <v>Generic</v>
  </rv>
  <rv s="0">
    <v>805306368</v>
    <v>Ahmad Al-Abdullah Al-Sabah (Prime minister)</v>
    <v>e9db8c04-3e89-ccbb-1bc6-b2931b6dac53</v>
    <v>en-US</v>
    <v>Generic</v>
  </rv>
  <rv s="3">
    <v>4</v>
  </rv>
  <rv s="4">
    <v>https://www.bing.com/search?q=kuwait&amp;form=skydnc</v>
    <v>Learn more on Bing</v>
  </rv>
  <rv s="1">
    <fb>75.397999999999996</fb>
    <v>28</v>
  </rv>
  <rv s="1">
    <fb>107063210000</fb>
    <v>30</v>
  </rv>
  <rv s="1">
    <fb>12</fb>
    <v>28</v>
  </rv>
  <rv s="3">
    <v>5</v>
  </rv>
  <rv s="1">
    <fb>0.1437861272</fb>
    <v>23</v>
  </rv>
  <rv s="1">
    <fb>2.5789</fb>
    <v>25</v>
  </rv>
  <rv s="1">
    <fb>3172511</fb>
    <v>24</v>
  </rv>
  <rv s="1">
    <fb>0.73492996215820294</fb>
    <v>23</v>
  </rv>
  <rv s="0">
    <v>536870912</v>
    <v>Ahmadi Governorate</v>
    <v>4ad537fa-f18c-1465-8ab5-7cc163f5f02a</v>
    <v>en-US</v>
    <v>Map</v>
  </rv>
  <rv s="0">
    <v>536870912</v>
    <v>Farwaniya Governorate</v>
    <v>134a7968-8176-e583-5183-f839391241eb</v>
    <v>en-US</v>
    <v>Map</v>
  </rv>
  <rv s="0">
    <v>536870912</v>
    <v>Capital Governorate</v>
    <v>af749407-857e-3d6a-64c5-ac8d2c1fe8ce</v>
    <v>en-US</v>
    <v>Map</v>
  </rv>
  <rv s="0">
    <v>536870912</v>
    <v>Jahra Governorate</v>
    <v>a12b1263-57b9-b6a0-8866-9de2a053ea6f</v>
    <v>en-US</v>
    <v>Map</v>
  </rv>
  <rv s="0">
    <v>536870912</v>
    <v>Hawalli Governorate</v>
    <v>cd35a7d9-c1b8-42ec-a6b5-b75e0098ae73</v>
    <v>en-US</v>
    <v>Map</v>
  </rv>
  <rv s="0">
    <v>536870912</v>
    <v>Mubarak Al-Kabeer</v>
    <v>a86d3875-410a-eaaf-d232-4b318b11d64c</v>
    <v>en-US</v>
    <v>Map</v>
  </rv>
  <rv s="3">
    <v>6</v>
  </rv>
  <rv s="1">
    <fb>1.3807787476104701E-2</fb>
    <v>23</v>
  </rv>
  <rv s="3">
    <v>7</v>
  </rv>
  <rv s="1">
    <fb>0.13</fb>
    <v>23</v>
  </rv>
  <rv s="1">
    <fb>2.18199992179871E-2</fb>
    <v>31</v>
  </rv>
  <rv s="1">
    <fb>4207083</fb>
    <v>24</v>
  </rv>
  <rv s="6">
    <v>#VALUE!</v>
    <v>en-US</v>
    <v>75e8432f-5ecb-30f2-cbcb-664d801e3c97</v>
    <v>536870912</v>
    <v>1</v>
    <v>36</v>
    <v>37</v>
    <v>Kuwait</v>
    <v>19</v>
    <v>20</v>
    <v>Map</v>
    <v>21</v>
    <v>38</v>
    <v>KW</v>
    <v>96</v>
    <v>97</v>
    <v>98</v>
    <v>99</v>
    <v>100</v>
    <v>101</v>
    <v>102</v>
    <v>103</v>
    <v>104</v>
    <v>KWD</v>
    <v>Kuwait, officially the State of Kuwait, is a country in West Asia. With a coastline of approximately 500 km, it is situated at the head of the Persian Gulf in the northeastern edge of the Arabian Peninsula, bordering Iraq to the north and Saudi ...</v>
    <v>105</v>
    <v>106</v>
    <v>107</v>
    <v>108</v>
    <v>109</v>
    <v>110</v>
    <v>111</v>
    <v>112</v>
    <v>113</v>
    <v>114</v>
    <v>101</v>
    <v>117</v>
    <v>118</v>
    <v>119</v>
    <v>120</v>
    <v>121</v>
    <v>27</v>
    <v>Kuwait</v>
    <v>National Anthem of Kuwait</v>
    <v>122</v>
    <v>دَولَةُ الكُوَيت</v>
    <v>123</v>
    <v>124</v>
    <v>125</v>
    <v>126</v>
    <v>133</v>
    <v>134</v>
    <v>135</v>
    <v>136</v>
    <v>137</v>
    <v>Kuwait</v>
    <v>138</v>
    <v>mdp/vdpid/136</v>
  </rv>
  <rv s="0">
    <v>536870912</v>
    <v>Jordan</v>
    <v>111b516f-9a1d-0733-ed2d-cb194484fa44</v>
    <v>en-US</v>
    <v>Map</v>
  </rv>
  <rv s="1">
    <fb>0.120067578388995</fb>
    <v>23</v>
  </rv>
  <rv s="1">
    <fb>89341</fb>
    <v>24</v>
  </rv>
  <rv s="1">
    <fb>116000</fb>
    <v>24</v>
  </rv>
  <rv s="1">
    <fb>21.978999999999999</fb>
    <v>25</v>
  </rv>
  <rv s="1">
    <fb>962</fb>
    <v>26</v>
  </rv>
  <rv s="0">
    <v>536870912</v>
    <v>Amman</v>
    <v>05e784b3-b37b-bbfa-61a2-51fd431de2b9</v>
    <v>en-US</v>
    <v>Map</v>
  </rv>
  <rv s="1">
    <fb>25107.949000000001</fb>
    <v>24</v>
  </rv>
  <rv s="1">
    <fb>125.604002606804</fb>
    <v>27</v>
  </rv>
  <rv s="1">
    <fb>7.6151404726551297E-3</fb>
    <v>23</v>
  </rv>
  <rv s="1">
    <fb>1864.67585548017</fb>
    <v>24</v>
  </rv>
  <rv s="1">
    <fb>2.7610000000000001</fb>
    <v>25</v>
  </rv>
  <rv s="1">
    <fb>1.09822031989187E-2</fb>
    <v>23</v>
  </rv>
  <rv s="1">
    <fb>97.608446650523305</fb>
    <v>28</v>
  </rv>
  <rv s="1">
    <fb>1.1000000000000001</fb>
    <v>29</v>
  </rv>
  <rv s="1">
    <fb>43743661971.831001</fb>
    <v>30</v>
  </rv>
  <rv s="1">
    <fb>0.81458900000000001</fb>
    <v>23</v>
  </rv>
  <rv s="1">
    <fb>0.34415319999999999</fb>
    <v>23</v>
  </rv>
  <rv s="2">
    <v>2</v>
    <v>21</v>
    <v>40</v>
    <v>7</v>
    <v>0</v>
    <v>Image of Jordan</v>
  </rv>
  <rv s="1">
    <fb>13.9</fb>
    <v>28</v>
  </rv>
  <rv s="0">
    <v>805306368</v>
    <v>Abdullah II of Jordan (King)</v>
    <v>08352409-46f2-f145-9cc9-f6ff3033fa78</v>
    <v>en-US</v>
    <v>Generic</v>
  </rv>
  <rv s="0">
    <v>805306368</v>
    <v>Jafar Hassan (Prime minister)</v>
    <v>f5f0ae5f-df70-01e0-5184-778281e00545</v>
    <v>en-US</v>
    <v>Generic</v>
  </rv>
  <rv s="3">
    <v>8</v>
  </rv>
  <rv s="4">
    <v>https://www.bing.com/search?q=jordan+country&amp;form=skydnc</v>
    <v>Learn more on Bing</v>
  </rv>
  <rv s="1">
    <fb>74.405000000000001</fb>
    <v>28</v>
  </rv>
  <rv s="1">
    <fb>21036390000</fb>
    <v>30</v>
  </rv>
  <rv s="1">
    <fb>46</fb>
    <v>28</v>
  </rv>
  <rv s="1">
    <fb>1.49</fb>
    <v>29</v>
  </rv>
  <rv s="1">
    <fb>0.25149342889999998</fb>
    <v>23</v>
  </rv>
  <rv s="1">
    <fb>2.3237000000000001</fb>
    <v>25</v>
  </rv>
  <rv s="1">
    <fb>11312507</fb>
    <v>24</v>
  </rv>
  <rv s="1">
    <fb>0.215</fb>
    <v>23</v>
  </rv>
  <rv s="1">
    <fb>0.27500000000000002</fb>
    <v>23</v>
  </rv>
  <rv s="1">
    <fb>0.42399999999999999</fb>
    <v>23</v>
  </rv>
  <rv s="1">
    <fb>3.5000000000000003E-2</fb>
    <v>23</v>
  </rv>
  <rv s="1">
    <fb>8.199999999999999E-2</fb>
    <v>23</v>
  </rv>
  <rv s="1">
    <fb>0.121</fb>
    <v>23</v>
  </rv>
  <rv s="1">
    <fb>0.158</fb>
    <v>23</v>
  </rv>
  <rv s="1">
    <fb>0.39305000305175802</fb>
    <v>23</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9</v>
  </rv>
  <rv s="1">
    <fb>0.15126289761747999</fb>
    <v>23</v>
  </rv>
  <rv s="3">
    <v>10</v>
  </rv>
  <rv s="1">
    <fb>0.28600000000000003</fb>
    <v>23</v>
  </rv>
  <rv s="1">
    <fb>0.14715000152587898</fb>
    <v>31</v>
  </rv>
  <rv s="1">
    <fb>9213048</fb>
    <v>24</v>
  </rv>
  <rv s="5">
    <v>#VALUE!</v>
    <v>en-US</v>
    <v>111b516f-9a1d-0733-ed2d-cb194484fa44</v>
    <v>536870912</v>
    <v>1</v>
    <v>43</v>
    <v>17</v>
    <v>Jordan</v>
    <v>19</v>
    <v>20</v>
    <v>Map</v>
    <v>21</v>
    <v>44</v>
    <v>JO</v>
    <v>141</v>
    <v>142</v>
    <v>143</v>
    <v>144</v>
    <v>145</v>
    <v>146</v>
    <v>147</v>
    <v>148</v>
    <v>149</v>
    <v>JOD</v>
    <v>Jordan, officially the Hashemite Kingdom of Jordan, is a country in the Southern Levant region of West Asia. Jordan is bordered by Syria to the north, Iraq to the east, Saudi Arabia to the south, and both Israel and Palestine to the west. The ...</v>
    <v>150</v>
    <v>151</v>
    <v>152</v>
    <v>153</v>
    <v>154</v>
    <v>155</v>
    <v>156</v>
    <v>157</v>
    <v>158</v>
    <v>159</v>
    <v>146</v>
    <v>162</v>
    <v>163</v>
    <v>164</v>
    <v>165</v>
    <v>166</v>
    <v>167</v>
    <v>Jordan</v>
    <v>Royal Jordanian Anthem</v>
    <v>122</v>
    <v>المملكة الأردنية الهاشمية</v>
    <v>168</v>
    <v>169</v>
    <v>170</v>
    <v>171</v>
    <v>172</v>
    <v>173</v>
    <v>174</v>
    <v>175</v>
    <v>176</v>
    <v>177</v>
    <v>178</v>
    <v>191</v>
    <v>192</v>
    <v>193</v>
    <v>194</v>
    <v>195</v>
    <v>Jordan</v>
    <v>196</v>
    <v>mdp/vdpid/126</v>
  </rv>
  <rv s="0">
    <v>536870912</v>
    <v>Tunisia</v>
    <v>aa802665-9964-3c1f-29ff-48957a4ec8c3</v>
    <v>en-US</v>
    <v>Map</v>
  </rv>
  <rv s="1">
    <fb>0.6483650875386201</fb>
    <v>23</v>
  </rv>
  <rv s="1">
    <fb>163610</fb>
    <v>24</v>
  </rv>
  <rv s="1">
    <fb>48000</fb>
    <v>24</v>
  </rv>
  <rv s="1">
    <fb>17.564</fb>
    <v>25</v>
  </rv>
  <rv s="1">
    <fb>216</fb>
    <v>26</v>
  </rv>
  <rv s="0">
    <v>536870912</v>
    <v>Tunis</v>
    <v>e349670b-9768-7e22-1d6f-0710a82c29f4</v>
    <v>en-US</v>
    <v>Map</v>
  </rv>
  <rv s="1">
    <fb>29937.387999999999</fb>
    <v>24</v>
  </rv>
  <rv s="1">
    <fb>155.325373517033</fb>
    <v>27</v>
  </rv>
  <rv s="1">
    <fb>6.7200753286380394E-2</fb>
    <v>23</v>
  </rv>
  <rv s="1">
    <fb>1454.6422866221101</fb>
    <v>24</v>
  </rv>
  <rv s="1">
    <fb>2.1970000000000001</fb>
    <v>25</v>
  </rv>
  <rv s="1">
    <fb>6.7662200770589598E-2</fb>
    <v>23</v>
  </rv>
  <rv s="1">
    <fb>88.870388104383395</fb>
    <v>28</v>
  </rv>
  <rv s="1">
    <fb>0.73</fb>
    <v>29</v>
  </rv>
  <rv s="1">
    <fb>38797709923.664101</fb>
    <v>30</v>
  </rv>
  <rv s="1">
    <fb>1.1544597000000001</fb>
    <v>23</v>
  </rv>
  <rv s="1">
    <fb>0.3174652</fb>
    <v>23</v>
  </rv>
  <rv s="2">
    <v>3</v>
    <v>21</v>
    <v>46</v>
    <v>7</v>
    <v>0</v>
    <v>Image of Tunisia</v>
  </rv>
  <rv s="1">
    <fb>14.6</fb>
    <v>28</v>
  </rv>
  <rv s="0">
    <v>805306368</v>
    <v>Kais Saied (President)</v>
    <v>ba3da614-cb0f-3f43-cce6-c6775ce6a666</v>
    <v>en-US</v>
    <v>Generic</v>
  </rv>
  <rv s="0">
    <v>805306368</v>
    <v>Sara Zaafarani (Prime minister)</v>
    <v>b4561388-18a0-0b15-8e68-0d4bdc557eab</v>
    <v>en-US</v>
    <v>Generic</v>
  </rv>
  <rv s="3">
    <v>11</v>
  </rv>
  <rv s="4">
    <v>https://www.bing.com/search?q=tunisia&amp;form=skydnc</v>
    <v>Learn more on Bing</v>
  </rv>
  <rv s="1">
    <fb>76.504999999999995</fb>
    <v>28</v>
  </rv>
  <rv s="1">
    <fb>8503230000</fb>
    <v>30</v>
  </rv>
  <rv s="1">
    <fb>43</fb>
    <v>28</v>
  </rv>
  <rv s="1">
    <fb>0.47</fb>
    <v>29</v>
  </rv>
  <rv s="1">
    <fb>0.39783110550000006</fb>
    <v>23</v>
  </rv>
  <rv s="1">
    <fb>1.3025</fb>
    <v>25</v>
  </rv>
  <rv s="1">
    <fb>11962995</fb>
    <v>24</v>
  </rv>
  <rv s="1">
    <fb>0.22500000000000001</fb>
    <v>23</v>
  </rv>
  <rv s="1">
    <fb>0.25600000000000001</fb>
    <v>23</v>
  </rv>
  <rv s="1">
    <fb>0.40899999999999997</fb>
    <v>23</v>
  </rv>
  <rv s="1">
    <fb>3.2000000000000001E-2</fb>
    <v>23</v>
  </rv>
  <rv s="1">
    <fb>7.8E-2</fb>
    <v>23</v>
  </rv>
  <rv s="1">
    <fb>0.12300000000000001</fb>
    <v>23</v>
  </rv>
  <rv s="1">
    <fb>0.16500000000000001</fb>
    <v>23</v>
  </rv>
  <rv s="1">
    <fb>0.46124000549316402</fb>
    <v>23</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12</v>
  </rv>
  <rv s="1">
    <fb>0.21127889655799803</fb>
    <v>23</v>
  </rv>
  <rv s="3">
    <v>13</v>
  </rv>
  <rv s="1">
    <fb>0.60699999999999998</fb>
    <v>23</v>
  </rv>
  <rv s="1">
    <fb>0.16021999359130898</fb>
    <v>31</v>
  </rv>
  <rv s="1">
    <fb>8099061</fb>
    <v>24</v>
  </rv>
  <rv s="5">
    <v>#VALUE!</v>
    <v>en-US</v>
    <v>aa802665-9964-3c1f-29ff-48957a4ec8c3</v>
    <v>536870912</v>
    <v>1</v>
    <v>49</v>
    <v>17</v>
    <v>Tunisia</v>
    <v>19</v>
    <v>20</v>
    <v>Map</v>
    <v>21</v>
    <v>50</v>
    <v>TN</v>
    <v>199</v>
    <v>200</v>
    <v>201</v>
    <v>202</v>
    <v>203</v>
    <v>204</v>
    <v>205</v>
    <v>206</v>
    <v>207</v>
    <v>TND</v>
    <v>Tunisia, officially the Republic of Tunisia, is a country in the Maghreb region of North Africa. It is bordered by Algeria to the west and southwest, Libya to the southeast, and the Mediterranean Sea to the north and east. Tunisia also shares ...</v>
    <v>208</v>
    <v>209</v>
    <v>210</v>
    <v>211</v>
    <v>212</v>
    <v>213</v>
    <v>214</v>
    <v>215</v>
    <v>216</v>
    <v>217</v>
    <v>204</v>
    <v>220</v>
    <v>221</v>
    <v>222</v>
    <v>223</v>
    <v>224</v>
    <v>225</v>
    <v>Tunisia</v>
    <v>Humat al-Hima</v>
    <v>122</v>
    <v>Republic of Tunisia</v>
    <v>226</v>
    <v>227</v>
    <v>228</v>
    <v>229</v>
    <v>230</v>
    <v>231</v>
    <v>232</v>
    <v>233</v>
    <v>234</v>
    <v>235</v>
    <v>236</v>
    <v>261</v>
    <v>262</v>
    <v>263</v>
    <v>264</v>
    <v>265</v>
    <v>Tunisia</v>
    <v>266</v>
    <v>mdp/vdpid/234</v>
  </rv>
  <rv s="0">
    <v>536870912</v>
    <v>United Arab Emirates</v>
    <v>254a2621-4625-0f85-0b9d-13e4e75e5c9b</v>
    <v>en-US</v>
    <v>Map</v>
  </rv>
  <rv s="1">
    <fb>5.4745140494645003E-2</fb>
    <v>23</v>
  </rv>
  <rv s="1">
    <fb>83600</fb>
    <v>24</v>
  </rv>
  <rv s="1">
    <fb>63000</fb>
    <v>24</v>
  </rv>
  <rv s="1">
    <fb>10.331</fb>
    <v>25</v>
  </rv>
  <rv s="1">
    <fb>971</fb>
    <v>26</v>
  </rv>
  <rv s="0">
    <v>536870912</v>
    <v>Abu Dhabi</v>
    <v>5c13f73c-6c26-b05a-8294-4e5d670b582c</v>
    <v>en-US</v>
    <v>Map</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2">
    <v>4</v>
    <v>21</v>
    <v>52</v>
    <v>7</v>
    <v>0</v>
    <v>Image of United Arab Emirates</v>
  </rv>
  <rv s="1">
    <fb>6.5</fb>
    <v>28</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0">
    <v>805306368</v>
    <v>Mansour bin Zayed Al Nahyan (Deputy prime minister)</v>
    <v>ec5f24b5-3452-dcee-ae5b-ad9aa77a7f1b</v>
    <v>en-US</v>
    <v>Generic</v>
  </rv>
  <rv s="0">
    <v>805306368</v>
    <v>Saif bin Zayed Al Nahyan (Deputy prime minister)</v>
    <v>d54d9465-81b3-7da3-3c82-73e077d589b9</v>
    <v>en-US</v>
    <v>Generic</v>
  </rv>
  <rv s="0">
    <v>805306368</v>
    <v>Maktoum bin Mohammed Al Maktoum (Deputy prime minister)</v>
    <v>8eddb956-ef70-44b4-b109-79718bab56a9</v>
    <v>en-US</v>
    <v>Generic</v>
  </rv>
  <rv s="0">
    <v>805306368</v>
    <v>Hamdan bin Mohammed Al Maktoum (Deputy prime minister)</v>
    <v>680da98b-707c-5d08-5b43-66d84cbb7ae3</v>
    <v>en-US</v>
    <v>Generic</v>
  </rv>
  <rv s="3">
    <v>14</v>
  </rv>
  <rv s="4">
    <v>https://www.bing.com/search?q=united+arab+emirates&amp;form=skydnc</v>
    <v>Learn more on Bing</v>
  </rv>
  <rv s="1">
    <fb>77.813999999999993</fb>
    <v>28</v>
  </rv>
  <rv s="1">
    <fb>247209143274.88101</fb>
    <v>30</v>
  </rv>
  <rv s="1">
    <fb>3</fb>
    <v>28</v>
  </rv>
  <rv s="1">
    <fb>0.1778964985</fb>
    <v>23</v>
  </rv>
  <rv s="1">
    <fb>2.5278</fb>
    <v>25</v>
  </rv>
  <rv s="1">
    <fb>10093593</fb>
    <v>24</v>
  </rv>
  <rv s="1">
    <fb>0.255</fb>
    <v>23</v>
  </rv>
  <rv s="1">
    <fb>0.214</fb>
    <v>23</v>
  </rv>
  <rv s="1">
    <fb>0.38200000000000001</fb>
    <v>23</v>
  </rv>
  <rv s="1">
    <fb>2.3E-2</fb>
    <v>23</v>
  </rv>
  <rv s="1">
    <fb>6.2E-2</fb>
    <v>23</v>
  </rv>
  <rv s="1">
    <fb>0.12</fb>
    <v>23</v>
  </rv>
  <rv s="1">
    <fb>0.18</fb>
    <v>23</v>
  </rv>
  <rv s="1">
    <fb>0.82094001770019498</fb>
    <v>23</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15</v>
  </rv>
  <rv s="1">
    <fb>5.9310281329913201E-4</fb>
    <v>23</v>
  </rv>
  <rv s="3">
    <v>16</v>
  </rv>
  <rv s="1">
    <fb>0.159</fb>
    <v>23</v>
  </rv>
  <rv s="1">
    <fb>2.3480000495910602E-2</fb>
    <v>31</v>
  </rv>
  <rv s="1">
    <fb>8479744</fb>
    <v>24</v>
  </rv>
  <rv s="7">
    <v>#VALUE!</v>
    <v>en-US</v>
    <v>254a2621-4625-0f85-0b9d-13e4e75e5c9b</v>
    <v>536870912</v>
    <v>1</v>
    <v>55</v>
    <v>56</v>
    <v>United Arab Emirates</v>
    <v>19</v>
    <v>20</v>
    <v>Map</v>
    <v>21</v>
    <v>57</v>
    <v>AE</v>
    <v>269</v>
    <v>270</v>
    <v>271</v>
    <v>272</v>
    <v>273</v>
    <v>274</v>
    <v>275</v>
    <v>276</v>
    <v>277</v>
    <v>AED</v>
    <v>The United Arab Emirates, also known simply as the Emirates, is a country in West Asia, situated at the eastern end of the Arabian Peninsula. It is a federal semi-constitutional monarchy made up of seven emirates, with Abu Dhabi serving as its ...</v>
    <v>278</v>
    <v>279</v>
    <v>280</v>
    <v>281</v>
    <v>282</v>
    <v>283</v>
    <v>284</v>
    <v>285</v>
    <v>286</v>
    <v>287</v>
    <v>288</v>
    <v>295</v>
    <v>296</v>
    <v>297</v>
    <v>298</v>
    <v>299</v>
    <v>United Arab Emirates</v>
    <v>Ishi Biladi</v>
    <v>122</v>
    <v>les Émirats arabes unis</v>
    <v>300</v>
    <v>301</v>
    <v>302</v>
    <v>303</v>
    <v>304</v>
    <v>305</v>
    <v>306</v>
    <v>307</v>
    <v>308</v>
    <v>309</v>
    <v>310</v>
    <v>316</v>
    <v>317</v>
    <v>318</v>
    <v>319</v>
    <v>320</v>
    <v>United Arab Emirates</v>
    <v>321</v>
    <v>mdp/vdpid/224</v>
  </rv>
  <rv s="0">
    <v>536870912</v>
    <v>Qatar</v>
    <v>12aef15b-0748-2538-a691-1f10b68d6fc2</v>
    <v>en-US</v>
    <v>Map</v>
  </rv>
  <rv s="1">
    <fb>5.7708871662360002E-2</fb>
    <v>23</v>
  </rv>
  <rv s="1">
    <fb>11437</fb>
    <v>24</v>
  </rv>
  <rv s="1">
    <fb>22000</fb>
    <v>24</v>
  </rv>
  <rv s="1">
    <fb>9.5410000000000004</fb>
    <v>25</v>
  </rv>
  <rv s="1">
    <fb>974</fb>
    <v>26</v>
  </rv>
  <rv s="0">
    <v>536870912</v>
    <v>Doha</v>
    <v>c5b0d5d3-8bd3-bd8d-1f71-c25a489a1a0d</v>
    <v>en-US</v>
    <v>Map</v>
  </rv>
  <rv s="1">
    <fb>103259.053</fb>
    <v>24</v>
  </rv>
  <rv s="1">
    <fb>115.380849813981</fb>
    <v>27</v>
  </rv>
  <rv s="1">
    <fb>-6.6664112486110204E-3</fb>
    <v>23</v>
  </rv>
  <rv s="1">
    <fb>14781.648325999</fb>
    <v>24</v>
  </rv>
  <rv s="1">
    <fb>1.8660000000000001</fb>
    <v>25</v>
  </rv>
  <rv s="1">
    <fb>0</fb>
    <v>23</v>
  </rv>
  <rv s="1">
    <fb>99.995026721051204</fb>
    <v>28</v>
  </rv>
  <rv s="1">
    <fb>0.4</fb>
    <v>29</v>
  </rv>
  <rv s="1">
    <fb>183466208791.20901</fb>
    <v>30</v>
  </rv>
  <rv s="1">
    <fb>1.0384244</fb>
    <v>23</v>
  </rv>
  <rv s="1">
    <fb>0.1786992</fb>
    <v>23</v>
  </rv>
  <rv s="2">
    <v>5</v>
    <v>21</v>
    <v>59</v>
    <v>7</v>
    <v>0</v>
    <v>Image of Qatar</v>
  </rv>
  <rv s="1">
    <fb>5.8</fb>
    <v>28</v>
  </rv>
  <rv s="0">
    <v>805306368</v>
    <v>Tamim bin Hamad Al Thani (Emir)</v>
    <v>a1db2975-3bae-c431-415e-f2760e58c99a</v>
    <v>en-US</v>
    <v>Generic</v>
  </rv>
  <rv s="0">
    <v>805306368</v>
    <v>Mohammed bin Abdulrahman bin Jassim Al Thani (Prime minister)</v>
    <v>ce42d931-a963-98de-26d9-0b1ba94ce2b3</v>
    <v>en-US</v>
    <v>Generic</v>
  </rv>
  <rv s="0">
    <v>805306368</v>
    <v>Saoud bin Abdulrahman Al Thani (Deputy prime minister)</v>
    <v>506050a8-eaf9-0c25-3385-b09b7ea181f1</v>
    <v>en-US</v>
    <v>Generic</v>
  </rv>
  <rv s="3">
    <v>17</v>
  </rv>
  <rv s="4">
    <v>https://www.bing.com/search?q=qatar+country&amp;form=skydnc</v>
    <v>Learn more on Bing</v>
  </rv>
  <rv s="1">
    <fb>80.099999999999994</fb>
    <v>28</v>
  </rv>
  <rv s="1">
    <fb>160050720000</fb>
    <v>30</v>
  </rv>
  <rv s="1">
    <fb>9</fb>
    <v>28</v>
  </rv>
  <rv s="3">
    <v>18</v>
  </rv>
  <rv s="1">
    <fb>6.2283750999999998E-2</fb>
    <v>23</v>
  </rv>
  <rv s="1">
    <fb>2.4851999999999999</fb>
    <v>25</v>
  </rv>
  <rv s="1">
    <fb>2568426</fb>
    <v>24</v>
  </rv>
  <rv s="1">
    <fb>0.86819999694824201</fb>
    <v>23</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19</v>
  </rv>
  <rv s="1">
    <fb>0.14654950961848401</fb>
    <v>23</v>
  </rv>
  <rv s="3">
    <v>20</v>
  </rv>
  <rv s="1">
    <fb>0.113</fb>
    <v>23</v>
  </rv>
  <rv s="1">
    <fb>9.0999998152255994E-4</fb>
    <v>31</v>
  </rv>
  <rv s="1">
    <fb>2809071</fb>
    <v>24</v>
  </rv>
  <rv s="8">
    <v>#VALUE!</v>
    <v>en-US</v>
    <v>12aef15b-0748-2538-a691-1f10b68d6fc2</v>
    <v>536870912</v>
    <v>1</v>
    <v>62</v>
    <v>63</v>
    <v>Qatar</v>
    <v>19</v>
    <v>20</v>
    <v>Map</v>
    <v>21</v>
    <v>64</v>
    <v>QA</v>
    <v>324</v>
    <v>325</v>
    <v>326</v>
    <v>327</v>
    <v>328</v>
    <v>329</v>
    <v>330</v>
    <v>331</v>
    <v>332</v>
    <v>QAR</v>
    <v>Qatar, officially the State of Qatar, is a country in West Asia. It occupies the Qatar Peninsula on the northeastern coast of the Arabian Peninsula in the Middle East; it shares its sole land border with Saudi Arabia to the south, with the rest ...</v>
    <v>333</v>
    <v>334</v>
    <v>335</v>
    <v>336</v>
    <v>337</v>
    <v>338</v>
    <v>339</v>
    <v>340</v>
    <v>341</v>
    <v>342</v>
    <v>329</v>
    <v>346</v>
    <v>347</v>
    <v>348</v>
    <v>349</v>
    <v>350</v>
    <v>Qatar</v>
    <v>As-Salām al-Amīrī</v>
    <v>351</v>
    <v>l’État du Qatar</v>
    <v>352</v>
    <v>353</v>
    <v>354</v>
    <v>355</v>
    <v>363</v>
    <v>364</v>
    <v>365</v>
    <v>366</v>
    <v>367</v>
    <v>Qatar</v>
    <v>368</v>
    <v>mdp/vdpid/197</v>
  </rv>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303175127597.521</fb>
    <v>30</v>
  </rv>
  <rv s="1">
    <fb>1.0628493000000001</fb>
    <v>23</v>
  </rv>
  <rv s="1">
    <fb>0.35164520000000005</fb>
    <v>23</v>
  </rv>
  <rv s="2">
    <v>6</v>
    <v>21</v>
    <v>66</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21</v>
  </rv>
  <rv s="4">
    <v>https://www.bing.com/search?q=egypt&amp;form=skydnc</v>
    <v>Learn more on Bing</v>
  </rv>
  <rv s="1">
    <fb>71.825000000000003</fb>
    <v>28</v>
  </rv>
  <rv s="1">
    <fb>44199850000</fb>
    <v>30</v>
  </rv>
  <rv s="1">
    <fb>37</fb>
    <v>28</v>
  </rv>
  <rv s="1">
    <fb>0.61958965460000004</fb>
    <v>23</v>
  </rv>
  <rv s="1">
    <fb>0.4521</fb>
    <v>25</v>
  </rv>
  <rv s="1">
    <fb>112870457</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22</v>
  </rv>
  <rv s="1">
    <fb>0.12519211097017099</fb>
    <v>23</v>
  </rv>
  <rv s="1">
    <fb>0.44400000000000001</fb>
    <v>23</v>
  </rv>
  <rv s="1">
    <fb>0.107600002288818</fb>
    <v>31</v>
  </rv>
  <rv s="1">
    <fb>42895824</fb>
    <v>24</v>
  </rv>
  <rv s="7">
    <v>#VALUE!</v>
    <v>en-US</v>
    <v>7af820a7-1c8d-f12a-0ca9-87e192e82cee</v>
    <v>536870912</v>
    <v>1</v>
    <v>69</v>
    <v>56</v>
    <v>Egypt</v>
    <v>19</v>
    <v>20</v>
    <v>Map</v>
    <v>21</v>
    <v>70</v>
    <v>EG</v>
    <v>371</v>
    <v>372</v>
    <v>373</v>
    <v>374</v>
    <v>375</v>
    <v>376</v>
    <v>377</v>
    <v>378</v>
    <v>379</v>
    <v>EGP</v>
    <v>Egypt, officially the Arab Republic of Egypt, is a country spanning the northeast corner of Africa and southwest corner of Asia via the Sinai Peninsula. It is bordered by the Mediterranean Sea to the north, Palestine and Israel to the northeast, ...</v>
    <v>380</v>
    <v>381</v>
    <v>382</v>
    <v>383</v>
    <v>337</v>
    <v>384</v>
    <v>385</v>
    <v>386</v>
    <v>387</v>
    <v>388</v>
    <v>376</v>
    <v>391</v>
    <v>392</v>
    <v>393</v>
    <v>394</v>
    <v>395</v>
    <v>Egypt</v>
    <v>Biladi, Biladi, Biladi</v>
    <v>122</v>
    <v>جُمهورِيّةُ مِصرَ العَرَبيّةِ</v>
    <v>396</v>
    <v>397</v>
    <v>398</v>
    <v>399</v>
    <v>400</v>
    <v>401</v>
    <v>402</v>
    <v>403</v>
    <v>404</v>
    <v>405</v>
    <v>406</v>
    <v>435</v>
    <v>436</v>
    <v>193</v>
    <v>437</v>
    <v>438</v>
    <v>Egypt</v>
    <v>439</v>
    <v>mdp/vdpid/67</v>
  </rv>
  <rv s="0">
    <v>536870912</v>
    <v>Saudi Arabia</v>
    <v>672bc136-22f9-3750-0459-2fbd2340f892</v>
    <v>en-US</v>
    <v>Map</v>
  </rv>
  <rv s="1">
    <fb>0.80764668394047501</fb>
    <v>23</v>
  </rv>
  <rv s="1">
    <fb>2250000</fb>
    <v>24</v>
  </rv>
  <rv s="1">
    <fb>252000</fb>
    <v>24</v>
  </rv>
  <rv s="1">
    <fb>17.797999999999998</fb>
    <v>25</v>
  </rv>
  <rv s="1">
    <fb>966</fb>
    <v>26</v>
  </rv>
  <rv s="0">
    <v>536870912</v>
    <v>Riyadh</v>
    <v>77f8babc-744b-01c3-105d-fd8a09a9f9c3</v>
    <v>en-US</v>
    <v>Map</v>
  </rv>
  <rv s="1">
    <fb>563449.21799999999</fb>
    <v>24</v>
  </rv>
  <rv s="1">
    <fb>118.399825471917</fb>
    <v>27</v>
  </rv>
  <rv s="1">
    <fb>-1.2060168826831901E-2</fb>
    <v>23</v>
  </rv>
  <rv s="1">
    <fb>9401.3667693566804</fb>
    <v>24</v>
  </rv>
  <rv s="1">
    <fb>2.319</fb>
    <v>25</v>
  </rv>
  <rv s="1">
    <fb>4.5448413492177901E-3</fb>
    <v>23</v>
  </rv>
  <rv s="1">
    <fb>99.928018621746105</fb>
    <v>28</v>
  </rv>
  <rv s="1">
    <fb>0.24</fb>
    <v>29</v>
  </rv>
  <rv s="1">
    <fb>792966838161.65906</fb>
    <v>30</v>
  </rv>
  <rv s="1">
    <fb>0.99769900000000011</fb>
    <v>23</v>
  </rv>
  <rv s="1">
    <fb>0.68039890000000003</fb>
    <v>23</v>
  </rv>
  <rv s="2">
    <v>7</v>
    <v>21</v>
    <v>72</v>
    <v>7</v>
    <v>0</v>
    <v>Image of Saudi Arabia</v>
  </rv>
  <rv s="1">
    <fb>6</fb>
    <v>28</v>
  </rv>
  <rv s="0">
    <v>805306368</v>
    <v>Salman of Saudi Arabia (King)</v>
    <v>3b5a69d0-c16b-2cb2-fb8c-65e7c9a377e6</v>
    <v>en-US</v>
    <v>Generic</v>
  </rv>
  <rv s="0">
    <v>805306368</v>
    <v>Mohammed bin Salman (Prime minister)</v>
    <v>485957f4-5f7f-4ecb-8ef8-627eb3f0b28a</v>
    <v>en-US</v>
    <v>Generic</v>
  </rv>
  <rv s="3">
    <v>23</v>
  </rv>
  <rv s="4">
    <v>https://www.bing.com/search?q=saudi+arabia&amp;form=skydnc</v>
    <v>Learn more on Bing</v>
  </rv>
  <rv s="1">
    <fb>74.998000000000005</fb>
    <v>28</v>
  </rv>
  <rv s="1">
    <fb>2406819600000</fb>
    <v>30</v>
  </rv>
  <rv s="1">
    <fb>17</fb>
    <v>28</v>
  </rv>
  <rv s="1">
    <fb>3.85</fb>
    <v>29</v>
  </rv>
  <rv s="1">
    <fb>0.1497993758</fb>
    <v>23</v>
  </rv>
  <rv s="1">
    <fb>2.6116999999999999</fb>
    <v>25</v>
  </rv>
  <rv s="1">
    <fb>37172774</fb>
    <v>24</v>
  </rv>
  <rv s="1">
    <fb>0.55880001068115204</fb>
    <v>23</v>
  </rv>
  <rv s="0">
    <v>536870912</v>
    <v>Al-Baha Province</v>
    <v>7992ca77-e569-6ff5-fb2f-bffd80b286d2</v>
    <v>en-US</v>
    <v>Map</v>
  </rv>
  <rv s="0">
    <v>536870912</v>
    <v>Northern Borders Province</v>
    <v>c96091e3-d809-87b1-d966-1f062b46b0cb</v>
    <v>en-US</v>
    <v>Map</v>
  </rv>
  <rv s="0">
    <v>536870912</v>
    <v>Al-Jouf Province</v>
    <v>fc636922-9e6f-97d1-e832-9a5ebe95f40f</v>
    <v>en-US</v>
    <v>Map</v>
  </rv>
  <rv s="0">
    <v>536870912</v>
    <v>Medina Province, Saudi Arabia</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Hail Province, Saudi Arabia</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24</v>
  </rv>
  <rv s="1">
    <fb>8.92574503531601E-2</fb>
    <v>23</v>
  </rv>
  <rv s="1">
    <fb>0.157</fb>
    <v>23</v>
  </rv>
  <rv s="1">
    <fb>5.9270000457763698E-2</fb>
    <v>31</v>
  </rv>
  <rv s="1">
    <fb>28807838</fb>
    <v>24</v>
  </rv>
  <rv s="6">
    <v>#VALUE!</v>
    <v>en-US</v>
    <v>672bc136-22f9-3750-0459-2fbd2340f892</v>
    <v>536870912</v>
    <v>1</v>
    <v>75</v>
    <v>37</v>
    <v>Saudi Arabia</v>
    <v>19</v>
    <v>20</v>
    <v>Map</v>
    <v>21</v>
    <v>76</v>
    <v>SA</v>
    <v>442</v>
    <v>443</v>
    <v>444</v>
    <v>445</v>
    <v>446</v>
    <v>447</v>
    <v>448</v>
    <v>449</v>
    <v>450</v>
    <v>SAR</v>
    <v>Saudi Arabia, officially the Kingdom of Saudi Arabia, is a country in West Asia that occupies the bulk of the Arabian Peninsula. Covering a land area of approximately 2,149,690 km², it is the fifth-largest country in Asia and the twelfth-largest ...</v>
    <v>451</v>
    <v>452</v>
    <v>453</v>
    <v>454</v>
    <v>455</v>
    <v>456</v>
    <v>457</v>
    <v>458</v>
    <v>459</v>
    <v>460</v>
    <v>447</v>
    <v>463</v>
    <v>464</v>
    <v>465</v>
    <v>466</v>
    <v>467</v>
    <v>468</v>
    <v>Saudi Arabia</v>
    <v>National Anthem of Saudi Arabia</v>
    <v>122</v>
    <v>الْمَمْلَكَةُ الْعَرَبِيَّةُ السُّعُودِيَّة</v>
    <v>469</v>
    <v>470</v>
    <v>471</v>
    <v>472</v>
    <v>486</v>
    <v>487</v>
    <v>365</v>
    <v>488</v>
    <v>489</v>
    <v>Saudi Arabia</v>
    <v>490</v>
    <v>mdp/vdpid/205</v>
  </rv>
  <rv s="0">
    <v>536870912</v>
    <v>Syria</v>
    <v>0365d9b4-dcc9-76b1-38fe-00d02cbcd68f</v>
    <v>en-US</v>
    <v>Map</v>
  </rv>
  <rv s="1">
    <fb>0.75810052823612695</fb>
    <v>23</v>
  </rv>
  <rv s="1">
    <fb>185180</fb>
    <v>24</v>
  </rv>
  <rv s="1">
    <fb>239000</fb>
    <v>24</v>
  </rv>
  <rv s="1">
    <fb>23.684999999999999</fb>
    <v>25</v>
  </rv>
  <rv s="1">
    <fb>963</fb>
    <v>26</v>
  </rv>
  <rv s="0">
    <v>536870912</v>
    <v>Damascus</v>
    <v>c59c22f4-d509-942f-a2f4-b31fa809a1b5</v>
    <v>en-US</v>
    <v>Map</v>
  </rv>
  <rv s="1">
    <fb>28829.954000000002</fb>
    <v>24</v>
  </rv>
  <rv s="1">
    <fb>143.199979473582</fb>
    <v>27</v>
  </rv>
  <rv s="1">
    <fb>0.36702295336413898</fb>
    <v>23</v>
  </rv>
  <rv s="1">
    <fb>974.31713913344902</fb>
    <v>24</v>
  </rv>
  <rv s="1">
    <fb>2.8079999999999998</fb>
    <v>25</v>
  </rv>
  <rv s="1">
    <fb>2.67385503458041E-2</fb>
    <v>23</v>
  </rv>
  <rv s="1">
    <fb>97.791781432638501</fb>
    <v>28</v>
  </rv>
  <rv s="1">
    <fb>0.83</fb>
    <v>29</v>
  </rv>
  <rv s="1">
    <fb>40405006007.208603</fb>
    <v>30</v>
  </rv>
  <rv s="1">
    <fb>0.81663549999999996</fb>
    <v>23</v>
  </rv>
  <rv s="1">
    <fb>0.40051150000000002</fb>
    <v>23</v>
  </rv>
  <rv s="2">
    <v>8</v>
    <v>21</v>
    <v>78</v>
    <v>7</v>
    <v>0</v>
    <v>Image of Syria</v>
  </rv>
  <rv s="1">
    <fb>14</fb>
    <v>28</v>
  </rv>
  <rv s="0">
    <v>805306368</v>
    <v>Ahmed al-Sharaa (President)</v>
    <v>70143a6b-e0b9-1512-af74-a288e240938a</v>
    <v>en-US</v>
    <v>Generic</v>
  </rv>
  <rv s="0">
    <v>805306368</v>
    <v>Abdul Hamid al-Awak (Speaker)</v>
    <v>e5fe975a-ecbe-91e2-e0b6-c5e2cf343da7</v>
    <v>en-US</v>
    <v>Generic</v>
  </rv>
  <rv s="3">
    <v>25</v>
  </rv>
  <rv s="4">
    <v>https://www.bing.com/search?q=syria&amp;form=skydnc</v>
    <v>Learn more on Bing</v>
  </rv>
  <rv s="1">
    <fb>71.778999999999996</fb>
    <v>28</v>
  </rv>
  <rv s="1">
    <fb>31</fb>
    <v>28</v>
  </rv>
  <rv s="1">
    <fb>1.02</fb>
    <v>29</v>
  </rv>
  <rv s="1">
    <fb>0.53691278149999999</fb>
    <v>23</v>
  </rv>
  <rv s="1">
    <fb>1.22</fb>
    <v>25</v>
  </rv>
  <rv s="1">
    <fb>24261882</fb>
    <v>24</v>
  </rv>
  <rv s="1">
    <fb>0.28699999999999998</fb>
    <v>23</v>
  </rv>
  <rv s="1">
    <fb>0.44</fb>
    <v>23</v>
  </rv>
  <rv s="1">
    <fb>7.5999999999999998E-2</fb>
    <v>23</v>
  </rv>
  <rv s="1">
    <fb>0.11599999999999999</fb>
    <v>23</v>
  </rv>
  <rv s="1">
    <fb>0.154</fb>
    <v>23</v>
  </rv>
  <rv s="1">
    <fb>0.44113998413085903</fb>
    <v>23</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Hasakah Governorate</v>
    <v>5a14681e-86ef-4e87-8814-e97b2331491b</v>
    <v>en-US</v>
    <v>Map</v>
  </rv>
  <rv s="3">
    <v>26</v>
  </rv>
  <rv s="1">
    <fb>0.14194682792272501</fb>
    <v>23</v>
  </rv>
  <rv s="1">
    <fb>0.42700000000000005</fb>
    <v>23</v>
  </rv>
  <rv s="1">
    <fb>8.3699998855590804E-2</fb>
    <v>31</v>
  </rv>
  <rv s="1">
    <fb>9358019</fb>
    <v>24</v>
  </rv>
  <rv s="9">
    <v>#VALUE!</v>
    <v>en-US</v>
    <v>0365d9b4-dcc9-76b1-38fe-00d02cbcd68f</v>
    <v>536870912</v>
    <v>1</v>
    <v>81</v>
    <v>82</v>
    <v>Syria</v>
    <v>19</v>
    <v>20</v>
    <v>Map</v>
    <v>21</v>
    <v>83</v>
    <v>SY</v>
    <v>493</v>
    <v>494</v>
    <v>495</v>
    <v>496</v>
    <v>497</v>
    <v>498</v>
    <v>499</v>
    <v>500</v>
    <v>501</v>
    <v>SYP</v>
    <v>Syria, officially the Syrian Arab Republic, is a country in West Asia located in the Eastern Mediterranean and the Levant. It borders the Mediterranean Sea to the west, Turkey to the north and northwest, Iraq to the east and southeast, Jordan to ...</v>
    <v>502</v>
    <v>503</v>
    <v>504</v>
    <v>505</v>
    <v>506</v>
    <v>507</v>
    <v>508</v>
    <v>509</v>
    <v>510</v>
    <v>511</v>
    <v>498</v>
    <v>514</v>
    <v>515</v>
    <v>516</v>
    <v>517</v>
    <v>518</v>
    <v>Syria</v>
    <v>Ḥumāt ad-Diyār</v>
    <v>122</v>
    <v>الجمهورية العربية السورية</v>
    <v>519</v>
    <v>520</v>
    <v>521</v>
    <v>304</v>
    <v>522</v>
    <v>523</v>
    <v>232</v>
    <v>524</v>
    <v>525</v>
    <v>526</v>
    <v>527</v>
    <v>542</v>
    <v>543</v>
    <v>193</v>
    <v>544</v>
    <v>545</v>
    <v>Syria</v>
    <v>546</v>
    <v>mdp/vdpid/222</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84">
    <spb s="0">
      <v xml:space="preserve">data.worldbank.org	</v>
      <v xml:space="preserve">	</v>
      <v xml:space="preserve">http://data.worldbank.org/indicator/FP.CPI.TOTL	</v>
      <v xml:space="preserve">	</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9">
      <v>0</v>
      <v>32</v>
      <v>33</v>
      <v>33</v>
      <v>3</v>
      <v>33</v>
      <v>33</v>
      <v>33</v>
      <v>34</v>
      <v>33</v>
      <v>33</v>
      <v>34</v>
      <v>33</v>
      <v>33</v>
      <v>35</v>
      <v>6</v>
      <v>32</v>
      <v>35</v>
      <v>7</v>
      <v>33</v>
      <v>35</v>
      <v>8</v>
      <v>9</v>
      <v>10</v>
      <v>35</v>
      <v>35</v>
      <v>33</v>
      <v>35</v>
      <v>11</v>
      <v>12</v>
      <v>13</v>
      <v>14</v>
      <v>35</v>
      <v>32</v>
      <v>35</v>
      <v>35</v>
      <v>35</v>
      <v>15</v>
    </spb>
    <spb s="2">
      <v>1</v>
      <v>Name</v>
      <v>LearnMoreOnLink</v>
    </spb>
    <spb s="10">
      <v>2019</v>
      <v>2019</v>
      <v>square km</v>
      <v>per thousand (2018)</v>
      <v>2025</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39</v>
      <v>40</v>
      <v>40</v>
      <v>3</v>
      <v>40</v>
      <v>40</v>
      <v>40</v>
      <v>41</v>
      <v>40</v>
      <v>40</v>
      <v>41</v>
      <v>40</v>
      <v>40</v>
      <v>42</v>
      <v>6</v>
      <v>39</v>
      <v>42</v>
      <v>7</v>
      <v>40</v>
      <v>42</v>
      <v>8</v>
      <v>9</v>
      <v>10</v>
      <v>42</v>
      <v>42</v>
      <v>40</v>
      <v>42</v>
      <v>11</v>
      <v>12</v>
      <v>13</v>
      <v>14</v>
      <v>42</v>
      <v>39</v>
      <v>42</v>
      <v>42</v>
      <v>42</v>
      <v>42</v>
      <v>42</v>
      <v>42</v>
      <v>42</v>
      <v>42</v>
      <v>42</v>
      <v>42</v>
      <v>15</v>
    </spb>
    <spb s="7">
      <v>2019</v>
      <v>2019</v>
      <v>square km</v>
      <v>per thousand (2018)</v>
      <v>2025</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45</v>
      <v>46</v>
      <v>46</v>
      <v>3</v>
      <v>46</v>
      <v>46</v>
      <v>46</v>
      <v>47</v>
      <v>46</v>
      <v>46</v>
      <v>47</v>
      <v>46</v>
      <v>46</v>
      <v>48</v>
      <v>6</v>
      <v>45</v>
      <v>48</v>
      <v>7</v>
      <v>46</v>
      <v>48</v>
      <v>8</v>
      <v>9</v>
      <v>10</v>
      <v>48</v>
      <v>48</v>
      <v>46</v>
      <v>48</v>
      <v>11</v>
      <v>12</v>
      <v>13</v>
      <v>14</v>
      <v>48</v>
      <v>45</v>
      <v>48</v>
      <v>48</v>
      <v>48</v>
      <v>48</v>
      <v>48</v>
      <v>48</v>
      <v>48</v>
      <v>48</v>
      <v>48</v>
      <v>48</v>
      <v>15</v>
    </spb>
    <spb s="7">
      <v>2019</v>
      <v>2019</v>
      <v>square km</v>
      <v>per thousand (2018)</v>
      <v>2025</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1">
      <v>0</v>
      <v>51</v>
      <v>52</v>
      <v>52</v>
      <v>3</v>
      <v>52</v>
      <v>52</v>
      <v>52</v>
      <v>53</v>
      <v>52</v>
      <v>52</v>
      <v>52</v>
      <v>52</v>
      <v>54</v>
      <v>6</v>
      <v>51</v>
      <v>54</v>
      <v>7</v>
      <v>52</v>
      <v>54</v>
      <v>8</v>
      <v>9</v>
      <v>10</v>
      <v>54</v>
      <v>54</v>
      <v>52</v>
      <v>54</v>
      <v>11</v>
      <v>12</v>
      <v>13</v>
      <v>14</v>
      <v>54</v>
      <v>51</v>
      <v>54</v>
      <v>54</v>
      <v>54</v>
      <v>54</v>
      <v>54</v>
      <v>54</v>
      <v>54</v>
      <v>54</v>
      <v>54</v>
      <v>54</v>
      <v>15</v>
    </spb>
    <spb s="2">
      <v>2</v>
      <v>Name</v>
      <v>LearnMoreOnLink</v>
    </spb>
    <spb s="7">
      <v>2019</v>
      <v>2019</v>
      <v>square km</v>
      <v>per thousand (2018)</v>
      <v>2025</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12">
      <v>0</v>
      <v>58</v>
      <v>59</v>
      <v>59</v>
      <v>3</v>
      <v>59</v>
      <v>59</v>
      <v>59</v>
      <v>60</v>
      <v>59</v>
      <v>59</v>
      <v>59</v>
      <v>59</v>
      <v>61</v>
      <v>6</v>
      <v>58</v>
      <v>61</v>
      <v>7</v>
      <v>59</v>
      <v>61</v>
      <v>8</v>
      <v>9</v>
      <v>10</v>
      <v>61</v>
      <v>61</v>
      <v>59</v>
      <v>61</v>
      <v>11</v>
      <v>12</v>
      <v>13</v>
      <v>14</v>
      <v>61</v>
      <v>58</v>
      <v>61</v>
      <v>61</v>
      <v>61</v>
      <v>15</v>
    </spb>
    <spb s="2">
      <v>3</v>
      <v>Name</v>
      <v>LearnMoreOnLink</v>
    </spb>
    <spb s="10">
      <v>2019</v>
      <v>2019</v>
      <v>square km</v>
      <v>per thousand (2018)</v>
      <v>2025</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11">
      <v>0</v>
      <v>65</v>
      <v>66</v>
      <v>66</v>
      <v>3</v>
      <v>66</v>
      <v>66</v>
      <v>66</v>
      <v>67</v>
      <v>66</v>
      <v>66</v>
      <v>66</v>
      <v>66</v>
      <v>68</v>
      <v>6</v>
      <v>65</v>
      <v>68</v>
      <v>7</v>
      <v>66</v>
      <v>68</v>
      <v>8</v>
      <v>9</v>
      <v>10</v>
      <v>68</v>
      <v>68</v>
      <v>66</v>
      <v>68</v>
      <v>11</v>
      <v>12</v>
      <v>13</v>
      <v>14</v>
      <v>68</v>
      <v>65</v>
      <v>68</v>
      <v>68</v>
      <v>68</v>
      <v>68</v>
      <v>68</v>
      <v>68</v>
      <v>68</v>
      <v>68</v>
      <v>68</v>
      <v>68</v>
      <v>15</v>
    </spb>
    <spb s="7">
      <v>2019</v>
      <v>2019</v>
      <v>square km</v>
      <v>per thousand (2018)</v>
      <v>2025</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9">
      <v>0</v>
      <v>71</v>
      <v>72</v>
      <v>72</v>
      <v>3</v>
      <v>72</v>
      <v>72</v>
      <v>72</v>
      <v>73</v>
      <v>72</v>
      <v>72</v>
      <v>73</v>
      <v>72</v>
      <v>72</v>
      <v>74</v>
      <v>6</v>
      <v>71</v>
      <v>74</v>
      <v>7</v>
      <v>72</v>
      <v>74</v>
      <v>8</v>
      <v>9</v>
      <v>10</v>
      <v>74</v>
      <v>74</v>
      <v>72</v>
      <v>74</v>
      <v>11</v>
      <v>12</v>
      <v>13</v>
      <v>14</v>
      <v>74</v>
      <v>71</v>
      <v>74</v>
      <v>74</v>
      <v>74</v>
      <v>15</v>
    </spb>
    <spb s="10">
      <v>2019</v>
      <v>2019</v>
      <v>square km</v>
      <v>per thousand (2018)</v>
      <v>2025</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13">
      <v>0</v>
      <v>77</v>
      <v>78</v>
      <v>78</v>
      <v>3</v>
      <v>78</v>
      <v>78</v>
      <v>78</v>
      <v>79</v>
      <v>78</v>
      <v>78</v>
      <v>79</v>
      <v>78</v>
      <v>78</v>
      <v>80</v>
      <v>6</v>
      <v>77</v>
      <v>80</v>
      <v>7</v>
      <v>78</v>
      <v>80</v>
      <v>8</v>
      <v>9</v>
      <v>10</v>
      <v>80</v>
      <v>80</v>
      <v>78</v>
      <v>80</v>
      <v>11</v>
      <v>12</v>
      <v>13</v>
      <v>14</v>
      <v>80</v>
      <v>80</v>
      <v>80</v>
      <v>80</v>
      <v>80</v>
      <v>80</v>
      <v>80</v>
      <v>80</v>
      <v>80</v>
      <v>80</v>
      <v>80</v>
      <v>15</v>
    </spb>
    <spb s="2">
      <v>4</v>
      <v>Name</v>
      <v>LearnMoreOnLink</v>
    </spb>
    <spb s="14">
      <v>2012</v>
      <v>2007</v>
      <v>square km</v>
      <v>per thousand (2018)</v>
      <v>2025</v>
      <v>2012</v>
      <v>2018</v>
      <v>per liter (2014)</v>
      <v>2019</v>
      <v>years (2018)</v>
      <v>2007</v>
      <v>per thousand (2018)</v>
      <v>2019</v>
      <v>2017</v>
      <v>2016</v>
      <v>2019</v>
      <v>2016</v>
      <v>2016</v>
      <v>kilotons per year (2016)</v>
      <v>deaths per 100,000 (2017)</v>
      <v>kWh (2014)</v>
      <v>2014</v>
      <v>2004</v>
      <v>2004</v>
      <v>2004</v>
      <v>2004</v>
      <v>2004</v>
      <v>2012</v>
      <v>2004</v>
      <v>2004</v>
      <v>2013</v>
      <v>2016</v>
      <v>2019</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AC9E0-9B1B-4733-80C6-2BD2EED589C8}" name="Table1" displayName="Table1" ref="A1:I31" totalsRowShown="0" headerRowDxfId="3">
  <autoFilter ref="A1:I31" xr:uid="{9C0AC9E0-9B1B-4733-80C6-2BD2EED589C8}"/>
  <tableColumns count="9">
    <tableColumn id="1" xr3:uid="{0523F579-6A58-475F-BAF8-4A10823874CA}" name="Record ID"/>
    <tableColumn id="2" xr3:uid="{536C0C6E-97BE-4DD5-98AD-FB3E9E0BD5F7}" name="Full Name"/>
    <tableColumn id="3" xr3:uid="{8517EC22-0D64-4067-A285-937C631E6ABA}" name="Email" dataDxfId="2" dataCellStyle="Hyperlink"/>
    <tableColumn id="4" xr3:uid="{7FC7C61B-B9BB-4EDD-9749-1250B34E6D58}" name="Phone" dataDxfId="1"/>
    <tableColumn id="5" xr3:uid="{AAB7472E-8482-4653-8E47-525C2F70E3BE}" name="Region"/>
    <tableColumn id="6" xr3:uid="{6CAD8A1E-5BAF-4031-92A1-945099CEA107}" name="Product"/>
    <tableColumn id="7" xr3:uid="{DE4B4D69-3063-42C3-A870-B57666B35BF4}" name="Quantity"/>
    <tableColumn id="8" xr3:uid="{4EF7E518-1793-4D3C-9ADC-1346D01E2C9D}" name="Unit Price" dataDxfId="0"/>
    <tableColumn id="9" xr3:uid="{DC8D189B-DC13-4439-8C90-25A3CDF82507}" name="Total">
      <calculatedColumnFormula>G2*H2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eila.boudiaf@gmail.com" TargetMode="External"/><Relationship Id="rId13" Type="http://schemas.openxmlformats.org/officeDocument/2006/relationships/hyperlink" Target="mailto:salima.ghezali@gmail.com" TargetMode="External"/><Relationship Id="rId18" Type="http://schemas.openxmlformats.org/officeDocument/2006/relationships/hyperlink" Target="mailto:meriem.haddad@gmail.com" TargetMode="External"/><Relationship Id="rId26" Type="http://schemas.openxmlformats.org/officeDocument/2006/relationships/hyperlink" Target="mailto:ines.hadjiri@gmail.com" TargetMode="External"/><Relationship Id="rId3" Type="http://schemas.openxmlformats.org/officeDocument/2006/relationships/hyperlink" Target="mailto:sara.mansouri@gmail.com" TargetMode="External"/><Relationship Id="rId21" Type="http://schemas.openxmlformats.org/officeDocument/2006/relationships/hyperlink" Target="mailto:adel.zerrouki@gmail.com" TargetMode="External"/><Relationship Id="rId7" Type="http://schemas.openxmlformats.org/officeDocument/2006/relationships/hyperlink" Target="mailto:ismail.rahal@gmail.co" TargetMode="External"/><Relationship Id="rId12" Type="http://schemas.openxmlformats.org/officeDocument/2006/relationships/hyperlink" Target="mailto:karim.bensalem@gmail.com" TargetMode="External"/><Relationship Id="rId17" Type="http://schemas.openxmlformats.org/officeDocument/2006/relationships/hyperlink" Target="mailto:youcef.kaci@gmail.com" TargetMode="External"/><Relationship Id="rId25" Type="http://schemas.openxmlformats.org/officeDocument/2006/relationships/hyperlink" Target="mailto:walid.cherif@gmail.com" TargetMode="External"/><Relationship Id="rId2" Type="http://schemas.openxmlformats.org/officeDocument/2006/relationships/hyperlink" Target="mailto:yacine.haddad@gmail.com" TargetMode="External"/><Relationship Id="rId16" Type="http://schemas.openxmlformats.org/officeDocument/2006/relationships/hyperlink" Target="mailto:farid.benamar@gmail.com" TargetMode="External"/><Relationship Id="rId20" Type="http://schemas.openxmlformats.org/officeDocument/2006/relationships/hyperlink" Target="mailto:amina.saidi@gmail.com" TargetMode="External"/><Relationship Id="rId29" Type="http://schemas.openxmlformats.org/officeDocument/2006/relationships/hyperlink" Target="mailto:Amel.Khelifi@gmail.com" TargetMode="External"/><Relationship Id="rId1" Type="http://schemas.openxmlformats.org/officeDocument/2006/relationships/hyperlink" Target="mailto:lina.amari@gmail.com" TargetMode="External"/><Relationship Id="rId6" Type="http://schemas.openxmlformats.org/officeDocument/2006/relationships/hyperlink" Target="mailto:lyndaaitali@gmail.com" TargetMode="External"/><Relationship Id="rId11" Type="http://schemas.openxmlformats.org/officeDocument/2006/relationships/hyperlink" Target="mailto:wiam.mokhtar@gmail.com" TargetMode="External"/><Relationship Id="rId24" Type="http://schemas.openxmlformats.org/officeDocument/2006/relationships/hyperlink" Target="mailto:sofiane.belkacem@gmail.com" TargetMode="External"/><Relationship Id="rId5" Type="http://schemas.openxmlformats.org/officeDocument/2006/relationships/hyperlink" Target="mailto:hanane.bekkouche@gmail.com" TargetMode="External"/><Relationship Id="rId15" Type="http://schemas.openxmlformats.org/officeDocument/2006/relationships/hyperlink" Target="mailto:samir.touati@gmail.com" TargetMode="External"/><Relationship Id="rId23" Type="http://schemas.openxmlformats.org/officeDocument/2006/relationships/hyperlink" Target="mailto:yasmine.rahmani@gmail.com" TargetMode="External"/><Relationship Id="rId28" Type="http://schemas.openxmlformats.org/officeDocument/2006/relationships/hyperlink" Target="mailto:Mourad.Saidi@gmail.com" TargetMode="External"/><Relationship Id="rId10" Type="http://schemas.openxmlformats.org/officeDocument/2006/relationships/hyperlink" Target="mailto:bilal.amari@gmail.com" TargetMode="External"/><Relationship Id="rId19" Type="http://schemas.openxmlformats.org/officeDocument/2006/relationships/hyperlink" Target="mailto:nabil.ferhat@gmail.com" TargetMode="External"/><Relationship Id="rId31" Type="http://schemas.openxmlformats.org/officeDocument/2006/relationships/table" Target="../tables/table1.xml"/><Relationship Id="rId4" Type="http://schemas.openxmlformats.org/officeDocument/2006/relationships/hyperlink" Target="mailto:ahmed.benali@gmail.com" TargetMode="External"/><Relationship Id="rId9" Type="http://schemas.openxmlformats.org/officeDocument/2006/relationships/hyperlink" Target="mailto:hiba.mansouri@gmail.com" TargetMode="External"/><Relationship Id="rId14" Type="http://schemas.openxmlformats.org/officeDocument/2006/relationships/hyperlink" Target="mailto:anis.belhadj@gmail.com" TargetMode="External"/><Relationship Id="rId22" Type="http://schemas.openxmlformats.org/officeDocument/2006/relationships/hyperlink" Target="mailto:rachid.amroune@gmail.com" TargetMode="External"/><Relationship Id="rId27" Type="http://schemas.openxmlformats.org/officeDocument/2006/relationships/hyperlink" Target="mailto:Sara.Benyahia@gmail.com" TargetMode="External"/><Relationship Id="rId30" Type="http://schemas.openxmlformats.org/officeDocument/2006/relationships/hyperlink" Target="mailto:Nadia.Merabe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pane ySplit="1" topLeftCell="A18" activePane="bottomLeft" state="frozen"/>
      <selection pane="bottomLeft" activeCell="B4" sqref="B4"/>
    </sheetView>
  </sheetViews>
  <sheetFormatPr defaultRowHeight="15"/>
  <cols>
    <col min="1" max="1" width="14.28515625" customWidth="1"/>
    <col min="2" max="2" width="16.28515625" customWidth="1"/>
    <col min="3" max="3" width="32.42578125" customWidth="1"/>
    <col min="4" max="4" width="25.42578125" customWidth="1"/>
    <col min="5" max="5" width="23.140625" customWidth="1"/>
    <col min="6" max="6" width="16.85546875" customWidth="1"/>
    <col min="7" max="7" width="16.28515625" customWidth="1"/>
    <col min="8" max="8" width="14" bestFit="1" customWidth="1"/>
    <col min="9" max="9" width="13.7109375" customWidth="1"/>
  </cols>
  <sheetData>
    <row r="1" spans="1:9">
      <c r="A1" s="1" t="s">
        <v>0</v>
      </c>
      <c r="B1" s="1" t="s">
        <v>1</v>
      </c>
      <c r="C1" s="1" t="s">
        <v>2</v>
      </c>
      <c r="D1" s="1" t="s">
        <v>3</v>
      </c>
      <c r="E1" s="1" t="s">
        <v>4</v>
      </c>
      <c r="F1" s="1" t="s">
        <v>5</v>
      </c>
      <c r="G1" s="1" t="s">
        <v>6</v>
      </c>
      <c r="H1" s="1" t="s">
        <v>7</v>
      </c>
      <c r="I1" s="1" t="s">
        <v>8</v>
      </c>
    </row>
    <row r="2" spans="1:9">
      <c r="A2" t="s">
        <v>9</v>
      </c>
      <c r="B2" t="s">
        <v>10</v>
      </c>
      <c r="C2" s="7" t="s">
        <v>11</v>
      </c>
      <c r="D2" s="2" t="s">
        <v>12</v>
      </c>
      <c r="E2" t="e" vm="1">
        <v>#VALUE!</v>
      </c>
      <c r="F2" t="s">
        <v>13</v>
      </c>
      <c r="G2">
        <v>4</v>
      </c>
      <c r="H2" s="3">
        <v>45</v>
      </c>
      <c r="I2">
        <f>G2*H2</f>
        <v>180</v>
      </c>
    </row>
    <row r="3" spans="1:9">
      <c r="A3" t="s">
        <v>14</v>
      </c>
      <c r="B3" t="s">
        <v>15</v>
      </c>
      <c r="C3" s="7" t="s">
        <v>16</v>
      </c>
      <c r="D3" s="2" t="s">
        <v>17</v>
      </c>
      <c r="E3" t="e" vm="2">
        <v>#VALUE!</v>
      </c>
      <c r="F3" t="s">
        <v>18</v>
      </c>
      <c r="G3">
        <v>2</v>
      </c>
      <c r="H3" s="3">
        <v>70</v>
      </c>
      <c r="I3">
        <f t="shared" ref="I3:I5" si="0">G3*H3</f>
        <v>140</v>
      </c>
    </row>
    <row r="4" spans="1:9">
      <c r="A4" t="s">
        <v>19</v>
      </c>
      <c r="B4" t="s">
        <v>20</v>
      </c>
      <c r="C4" s="7" t="s">
        <v>21</v>
      </c>
      <c r="D4" s="2" t="s">
        <v>22</v>
      </c>
      <c r="E4" t="e" vm="3">
        <v>#VALUE!</v>
      </c>
      <c r="F4" t="s">
        <v>18</v>
      </c>
      <c r="G4">
        <v>6</v>
      </c>
      <c r="H4" s="3">
        <v>70</v>
      </c>
      <c r="I4">
        <f t="shared" si="0"/>
        <v>420</v>
      </c>
    </row>
    <row r="5" spans="1:9">
      <c r="A5" t="s">
        <v>23</v>
      </c>
      <c r="B5" t="s">
        <v>24</v>
      </c>
      <c r="C5" s="7" t="s">
        <v>25</v>
      </c>
      <c r="D5" s="2" t="s">
        <v>26</v>
      </c>
      <c r="E5" t="e" vm="4">
        <v>#VALUE!</v>
      </c>
      <c r="F5" t="s">
        <v>18</v>
      </c>
      <c r="G5">
        <v>11</v>
      </c>
      <c r="H5" s="3">
        <v>70</v>
      </c>
      <c r="I5">
        <f t="shared" si="0"/>
        <v>770</v>
      </c>
    </row>
    <row r="6" spans="1:9">
      <c r="A6" t="s">
        <v>27</v>
      </c>
      <c r="B6" t="s">
        <v>28</v>
      </c>
      <c r="C6" s="7" t="s">
        <v>29</v>
      </c>
      <c r="D6" s="2" t="s">
        <v>30</v>
      </c>
      <c r="E6" t="e" vm="5">
        <v>#VALUE!</v>
      </c>
      <c r="F6" t="s">
        <v>31</v>
      </c>
      <c r="G6">
        <v>15</v>
      </c>
      <c r="H6" s="3">
        <v>15</v>
      </c>
      <c r="I6">
        <f t="shared" ref="I6:I31" si="1">G6*H6</f>
        <v>225</v>
      </c>
    </row>
    <row r="7" spans="1:9">
      <c r="A7" t="s">
        <v>32</v>
      </c>
      <c r="B7" t="s">
        <v>33</v>
      </c>
      <c r="C7" s="7" t="s">
        <v>34</v>
      </c>
      <c r="D7" s="2" t="s">
        <v>35</v>
      </c>
      <c r="E7" t="e" vm="6">
        <v>#VALUE!</v>
      </c>
      <c r="F7" t="s">
        <v>18</v>
      </c>
      <c r="G7">
        <v>2</v>
      </c>
      <c r="H7" s="3">
        <v>70</v>
      </c>
      <c r="I7">
        <f t="shared" si="1"/>
        <v>140</v>
      </c>
    </row>
    <row r="8" spans="1:9">
      <c r="A8" t="s">
        <v>36</v>
      </c>
      <c r="B8" t="s">
        <v>37</v>
      </c>
      <c r="C8" s="7" t="s">
        <v>38</v>
      </c>
      <c r="D8" s="2" t="s">
        <v>39</v>
      </c>
      <c r="E8" t="e" vm="3">
        <v>#VALUE!</v>
      </c>
      <c r="F8" t="s">
        <v>40</v>
      </c>
      <c r="G8">
        <v>8</v>
      </c>
      <c r="H8" s="3">
        <v>35</v>
      </c>
      <c r="I8">
        <f t="shared" si="1"/>
        <v>280</v>
      </c>
    </row>
    <row r="9" spans="1:9">
      <c r="A9" t="s">
        <v>41</v>
      </c>
      <c r="B9" t="s">
        <v>42</v>
      </c>
      <c r="C9" s="7" t="s">
        <v>43</v>
      </c>
      <c r="D9" s="2" t="s">
        <v>44</v>
      </c>
      <c r="E9" t="e" vm="6">
        <v>#VALUE!</v>
      </c>
      <c r="F9" t="s">
        <v>45</v>
      </c>
      <c r="G9">
        <v>2</v>
      </c>
      <c r="H9" s="3">
        <v>30</v>
      </c>
      <c r="I9">
        <f t="shared" si="1"/>
        <v>60</v>
      </c>
    </row>
    <row r="10" spans="1:9">
      <c r="A10" t="s">
        <v>46</v>
      </c>
      <c r="B10" t="s">
        <v>47</v>
      </c>
      <c r="C10" s="7" t="s">
        <v>48</v>
      </c>
      <c r="D10" s="2" t="s">
        <v>49</v>
      </c>
      <c r="E10" t="e" vm="7">
        <v>#VALUE!</v>
      </c>
      <c r="F10" t="s">
        <v>40</v>
      </c>
      <c r="G10">
        <v>8</v>
      </c>
      <c r="H10" s="3">
        <v>35</v>
      </c>
      <c r="I10">
        <f t="shared" si="1"/>
        <v>280</v>
      </c>
    </row>
    <row r="11" spans="1:9">
      <c r="A11" t="s">
        <v>50</v>
      </c>
      <c r="B11" t="s">
        <v>51</v>
      </c>
      <c r="C11" s="7" t="s">
        <v>52</v>
      </c>
      <c r="D11" s="2" t="s">
        <v>53</v>
      </c>
      <c r="E11" t="e" vm="7">
        <v>#VALUE!</v>
      </c>
      <c r="F11" t="s">
        <v>31</v>
      </c>
      <c r="G11">
        <v>13</v>
      </c>
      <c r="H11" s="3">
        <v>15</v>
      </c>
      <c r="I11">
        <f t="shared" si="1"/>
        <v>195</v>
      </c>
    </row>
    <row r="12" spans="1:9">
      <c r="A12" t="s">
        <v>54</v>
      </c>
      <c r="B12" t="s">
        <v>55</v>
      </c>
      <c r="C12" s="7" t="s">
        <v>56</v>
      </c>
      <c r="D12" s="2" t="s">
        <v>57</v>
      </c>
      <c r="E12" t="e" vm="1">
        <v>#VALUE!</v>
      </c>
      <c r="F12" t="s">
        <v>13</v>
      </c>
      <c r="G12">
        <v>14</v>
      </c>
      <c r="H12" s="3">
        <v>45</v>
      </c>
      <c r="I12">
        <f t="shared" si="1"/>
        <v>630</v>
      </c>
    </row>
    <row r="13" spans="1:9">
      <c r="A13" t="s">
        <v>58</v>
      </c>
      <c r="B13" t="s">
        <v>59</v>
      </c>
      <c r="C13" s="7" t="s">
        <v>60</v>
      </c>
      <c r="D13" s="2" t="s">
        <v>61</v>
      </c>
      <c r="E13" t="e" vm="1">
        <v>#VALUE!</v>
      </c>
      <c r="F13" t="s">
        <v>40</v>
      </c>
      <c r="G13">
        <v>25</v>
      </c>
      <c r="H13" s="3">
        <v>35</v>
      </c>
      <c r="I13">
        <f t="shared" si="1"/>
        <v>875</v>
      </c>
    </row>
    <row r="14" spans="1:9">
      <c r="A14" t="s">
        <v>62</v>
      </c>
      <c r="B14" t="s">
        <v>63</v>
      </c>
      <c r="C14" s="7" t="s">
        <v>64</v>
      </c>
      <c r="D14" s="2" t="s">
        <v>65</v>
      </c>
      <c r="E14" t="e" vm="2">
        <v>#VALUE!</v>
      </c>
      <c r="F14" t="s">
        <v>13</v>
      </c>
      <c r="G14">
        <v>26</v>
      </c>
      <c r="H14" s="3">
        <v>45</v>
      </c>
      <c r="I14">
        <f t="shared" si="1"/>
        <v>1170</v>
      </c>
    </row>
    <row r="15" spans="1:9">
      <c r="A15" t="s">
        <v>66</v>
      </c>
      <c r="B15" t="s">
        <v>67</v>
      </c>
      <c r="C15" s="7" t="s">
        <v>68</v>
      </c>
      <c r="D15" s="2" t="s">
        <v>69</v>
      </c>
      <c r="E15" t="e" vm="2">
        <v>#VALUE!</v>
      </c>
      <c r="F15" t="s">
        <v>13</v>
      </c>
      <c r="G15">
        <v>37</v>
      </c>
      <c r="H15" s="3">
        <v>45</v>
      </c>
      <c r="I15">
        <f t="shared" si="1"/>
        <v>1665</v>
      </c>
    </row>
    <row r="16" spans="1:9">
      <c r="A16" t="s">
        <v>70</v>
      </c>
      <c r="B16" t="s">
        <v>71</v>
      </c>
      <c r="C16" s="7" t="s">
        <v>72</v>
      </c>
      <c r="D16" s="2" t="s">
        <v>73</v>
      </c>
      <c r="E16" t="e" vm="6">
        <v>#VALUE!</v>
      </c>
      <c r="F16" t="s">
        <v>31</v>
      </c>
      <c r="G16">
        <v>76</v>
      </c>
      <c r="H16" s="3">
        <v>15</v>
      </c>
      <c r="I16">
        <f t="shared" si="1"/>
        <v>1140</v>
      </c>
    </row>
    <row r="17" spans="1:9">
      <c r="A17" t="s">
        <v>74</v>
      </c>
      <c r="B17" t="s">
        <v>75</v>
      </c>
      <c r="C17" s="7" t="s">
        <v>76</v>
      </c>
      <c r="D17" s="2" t="s">
        <v>77</v>
      </c>
      <c r="E17" t="e" vm="6">
        <v>#VALUE!</v>
      </c>
      <c r="F17" t="s">
        <v>18</v>
      </c>
      <c r="G17">
        <v>35</v>
      </c>
      <c r="H17" s="3">
        <v>70</v>
      </c>
      <c r="I17">
        <f t="shared" si="1"/>
        <v>2450</v>
      </c>
    </row>
    <row r="18" spans="1:9">
      <c r="A18" t="s">
        <v>78</v>
      </c>
      <c r="B18" t="s">
        <v>79</v>
      </c>
      <c r="C18" s="7" t="s">
        <v>80</v>
      </c>
      <c r="D18" s="2" t="s">
        <v>81</v>
      </c>
      <c r="E18" t="e" vm="4">
        <v>#VALUE!</v>
      </c>
      <c r="F18" t="s">
        <v>13</v>
      </c>
      <c r="G18">
        <v>17</v>
      </c>
      <c r="H18" s="3">
        <v>45</v>
      </c>
      <c r="I18">
        <f t="shared" si="1"/>
        <v>765</v>
      </c>
    </row>
    <row r="19" spans="1:9">
      <c r="A19" t="s">
        <v>82</v>
      </c>
      <c r="B19" t="s">
        <v>83</v>
      </c>
      <c r="C19" s="7" t="s">
        <v>84</v>
      </c>
      <c r="D19" s="2" t="s">
        <v>85</v>
      </c>
      <c r="E19" t="e" vm="3">
        <v>#VALUE!</v>
      </c>
      <c r="F19" t="s">
        <v>45</v>
      </c>
      <c r="G19">
        <v>6</v>
      </c>
      <c r="H19" s="3">
        <v>30</v>
      </c>
      <c r="I19">
        <f t="shared" si="1"/>
        <v>180</v>
      </c>
    </row>
    <row r="20" spans="1:9">
      <c r="A20" t="s">
        <v>86</v>
      </c>
      <c r="B20" t="s">
        <v>87</v>
      </c>
      <c r="C20" s="7" t="s">
        <v>88</v>
      </c>
      <c r="D20" s="2" t="s">
        <v>89</v>
      </c>
      <c r="E20" t="e" vm="5">
        <v>#VALUE!</v>
      </c>
      <c r="F20" t="s">
        <v>13</v>
      </c>
      <c r="G20">
        <v>8</v>
      </c>
      <c r="H20" s="3">
        <v>45</v>
      </c>
      <c r="I20">
        <f t="shared" si="1"/>
        <v>360</v>
      </c>
    </row>
    <row r="21" spans="1:9">
      <c r="A21" t="s">
        <v>90</v>
      </c>
      <c r="B21" t="s">
        <v>91</v>
      </c>
      <c r="C21" s="7" t="s">
        <v>92</v>
      </c>
      <c r="D21" s="2" t="s">
        <v>93</v>
      </c>
      <c r="E21" t="e" vm="5">
        <v>#VALUE!</v>
      </c>
      <c r="F21" t="s">
        <v>31</v>
      </c>
      <c r="G21">
        <v>18</v>
      </c>
      <c r="H21" s="3">
        <v>15</v>
      </c>
      <c r="I21">
        <f t="shared" si="1"/>
        <v>270</v>
      </c>
    </row>
    <row r="22" spans="1:9">
      <c r="A22" t="s">
        <v>94</v>
      </c>
      <c r="B22" t="s">
        <v>95</v>
      </c>
      <c r="C22" s="7" t="s">
        <v>96</v>
      </c>
      <c r="D22" s="2" t="s">
        <v>97</v>
      </c>
      <c r="E22" t="e" vm="6">
        <v>#VALUE!</v>
      </c>
      <c r="F22" t="s">
        <v>31</v>
      </c>
      <c r="G22">
        <v>31</v>
      </c>
      <c r="H22" s="3">
        <v>15</v>
      </c>
      <c r="I22">
        <f t="shared" si="1"/>
        <v>465</v>
      </c>
    </row>
    <row r="23" spans="1:9">
      <c r="A23" t="s">
        <v>98</v>
      </c>
      <c r="B23" t="s">
        <v>99</v>
      </c>
      <c r="C23" s="7" t="s">
        <v>100</v>
      </c>
      <c r="D23" s="2" t="s">
        <v>101</v>
      </c>
      <c r="E23" t="e" vm="1">
        <v>#VALUE!</v>
      </c>
      <c r="F23" t="s">
        <v>40</v>
      </c>
      <c r="G23">
        <v>26</v>
      </c>
      <c r="H23" s="3">
        <v>35</v>
      </c>
      <c r="I23">
        <f t="shared" si="1"/>
        <v>910</v>
      </c>
    </row>
    <row r="24" spans="1:9">
      <c r="A24" t="s">
        <v>102</v>
      </c>
      <c r="B24" t="s">
        <v>103</v>
      </c>
      <c r="C24" s="7" t="s">
        <v>104</v>
      </c>
      <c r="D24" s="2" t="s">
        <v>105</v>
      </c>
      <c r="E24" t="e" vm="7">
        <v>#VALUE!</v>
      </c>
      <c r="F24" t="s">
        <v>18</v>
      </c>
      <c r="G24">
        <v>29</v>
      </c>
      <c r="H24" s="3">
        <v>70</v>
      </c>
      <c r="I24">
        <f t="shared" si="1"/>
        <v>2030</v>
      </c>
    </row>
    <row r="25" spans="1:9">
      <c r="A25" t="s">
        <v>106</v>
      </c>
      <c r="B25" t="s">
        <v>107</v>
      </c>
      <c r="C25" s="7" t="s">
        <v>108</v>
      </c>
      <c r="D25" s="2" t="s">
        <v>109</v>
      </c>
      <c r="E25" t="e" vm="2">
        <v>#VALUE!</v>
      </c>
      <c r="F25" t="s">
        <v>40</v>
      </c>
      <c r="G25">
        <v>44</v>
      </c>
      <c r="H25" s="3">
        <v>35</v>
      </c>
      <c r="I25">
        <f t="shared" si="1"/>
        <v>1540</v>
      </c>
    </row>
    <row r="26" spans="1:9">
      <c r="A26" t="s">
        <v>110</v>
      </c>
      <c r="B26" t="s">
        <v>111</v>
      </c>
      <c r="C26" s="7" t="s">
        <v>112</v>
      </c>
      <c r="D26" s="2" t="s">
        <v>113</v>
      </c>
      <c r="E26" t="e" vm="1">
        <v>#VALUE!</v>
      </c>
      <c r="F26" t="s">
        <v>40</v>
      </c>
      <c r="G26">
        <v>31</v>
      </c>
      <c r="H26" s="3">
        <v>35</v>
      </c>
      <c r="I26">
        <f t="shared" si="1"/>
        <v>1085</v>
      </c>
    </row>
    <row r="27" spans="1:9">
      <c r="A27" t="s">
        <v>114</v>
      </c>
      <c r="B27" t="s">
        <v>115</v>
      </c>
      <c r="C27" s="7" t="s">
        <v>116</v>
      </c>
      <c r="D27" s="2" t="s">
        <v>117</v>
      </c>
      <c r="E27" t="e" vm="4">
        <v>#VALUE!</v>
      </c>
      <c r="F27" t="s">
        <v>40</v>
      </c>
      <c r="G27">
        <v>10</v>
      </c>
      <c r="H27" s="3">
        <v>35</v>
      </c>
      <c r="I27">
        <f t="shared" si="1"/>
        <v>350</v>
      </c>
    </row>
    <row r="28" spans="1:9">
      <c r="A28" t="s">
        <v>118</v>
      </c>
      <c r="B28" t="s">
        <v>119</v>
      </c>
      <c r="C28" s="7" t="s">
        <v>120</v>
      </c>
      <c r="D28" s="2" t="s">
        <v>121</v>
      </c>
      <c r="E28" t="e" vm="3">
        <v>#VALUE!</v>
      </c>
      <c r="F28" t="s">
        <v>18</v>
      </c>
      <c r="G28">
        <v>7</v>
      </c>
      <c r="H28" s="3">
        <v>70</v>
      </c>
      <c r="I28">
        <f t="shared" si="1"/>
        <v>490</v>
      </c>
    </row>
    <row r="29" spans="1:9">
      <c r="A29" t="s">
        <v>122</v>
      </c>
      <c r="B29" t="s">
        <v>123</v>
      </c>
      <c r="C29" s="7" t="s">
        <v>124</v>
      </c>
      <c r="D29" s="2" t="s">
        <v>125</v>
      </c>
      <c r="E29" t="e" vm="7">
        <v>#VALUE!</v>
      </c>
      <c r="F29" t="s">
        <v>45</v>
      </c>
      <c r="G29">
        <v>17</v>
      </c>
      <c r="H29" s="3">
        <v>30</v>
      </c>
      <c r="I29">
        <f t="shared" si="1"/>
        <v>510</v>
      </c>
    </row>
    <row r="30" spans="1:9">
      <c r="A30" t="s">
        <v>126</v>
      </c>
      <c r="B30" t="s">
        <v>127</v>
      </c>
      <c r="C30" s="7" t="s">
        <v>128</v>
      </c>
      <c r="D30" s="2" t="s">
        <v>129</v>
      </c>
      <c r="E30" t="e" vm="7">
        <v>#VALUE!</v>
      </c>
      <c r="F30" t="s">
        <v>45</v>
      </c>
      <c r="G30">
        <v>28</v>
      </c>
      <c r="H30" s="3">
        <v>30</v>
      </c>
      <c r="I30">
        <f t="shared" si="1"/>
        <v>840</v>
      </c>
    </row>
    <row r="31" spans="1:9">
      <c r="A31" t="s">
        <v>130</v>
      </c>
      <c r="B31" t="s">
        <v>131</v>
      </c>
      <c r="C31" s="7" t="s">
        <v>132</v>
      </c>
      <c r="D31" s="2" t="s">
        <v>133</v>
      </c>
      <c r="E31" t="e" vm="1">
        <v>#VALUE!</v>
      </c>
      <c r="F31" t="s">
        <v>18</v>
      </c>
      <c r="G31">
        <v>31</v>
      </c>
      <c r="H31" s="3">
        <v>70</v>
      </c>
      <c r="I31">
        <f t="shared" si="1"/>
        <v>2170</v>
      </c>
    </row>
  </sheetData>
  <hyperlinks>
    <hyperlink ref="C5" r:id="rId1" xr:uid="{D18515B0-D32A-4FE7-AE3F-DF8F7076B7F5}"/>
    <hyperlink ref="C4" r:id="rId2" xr:uid="{DF60555F-6C78-4D5F-ACC5-73C366B5E90D}"/>
    <hyperlink ref="C3" r:id="rId3" xr:uid="{669482AD-2592-4A58-8190-892F58B113FC}"/>
    <hyperlink ref="C2" r:id="rId4" xr:uid="{BA90A4DC-01D4-4F10-915E-ADC46F429F53}"/>
    <hyperlink ref="C31" r:id="rId5" xr:uid="{C3508709-9F42-4B12-B6E8-DED7C849CDF2}"/>
    <hyperlink ref="C29" r:id="rId6" xr:uid="{C7E7721E-B953-44FE-B976-DB16D2AAE329}"/>
    <hyperlink ref="C30" r:id="rId7" xr:uid="{819A3179-EBB5-457C-B2EA-8953D27D07A7}"/>
    <hyperlink ref="C21" r:id="rId8" xr:uid="{72D78D79-237B-4912-90E3-0D4D7DB58601}"/>
    <hyperlink ref="C17" r:id="rId9" xr:uid="{D3EAF327-36A4-493F-A858-D73101D6F762}"/>
    <hyperlink ref="C20" r:id="rId10" xr:uid="{782772A1-18CC-4AC3-832F-95D49D891952}"/>
    <hyperlink ref="C27" r:id="rId11" xr:uid="{C94D5DBE-2F0E-4042-85A9-05C2E4FE4E6F}"/>
    <hyperlink ref="C6" r:id="rId12" xr:uid="{115CF411-C9F9-4B76-88AE-3B7FCEC17205}"/>
    <hyperlink ref="C25" r:id="rId13" xr:uid="{01DD2515-E867-4422-9C7F-C6C068B8DAB8}"/>
    <hyperlink ref="C26" r:id="rId14" xr:uid="{0E0D21EE-11FC-4C0E-9777-59CD2DCCD3D6}"/>
    <hyperlink ref="C8" r:id="rId15" xr:uid="{6488AC3B-DF3E-4B9F-9D96-F72CBE871B2E}"/>
    <hyperlink ref="C28" r:id="rId16" xr:uid="{92A87A1B-D6A2-4FEF-84F4-0DB7E04ADB2B}"/>
    <hyperlink ref="C24" r:id="rId17" xr:uid="{4AD5AD90-08DB-440F-9E6E-B73F2CE75B1A}"/>
    <hyperlink ref="C19" r:id="rId18" xr:uid="{0A7E0EC3-28C9-43B5-A9B8-C2574DC48777}"/>
    <hyperlink ref="C22" r:id="rId19" xr:uid="{B1497B01-8F9D-435F-BE7B-97542D480FA0}"/>
    <hyperlink ref="C23" r:id="rId20" xr:uid="{232B9547-BF54-4C1D-973F-0F4BEB9374B6}"/>
    <hyperlink ref="C18" r:id="rId21" xr:uid="{4C17BD9D-F844-4A39-948B-3998EFAEE7A1}"/>
    <hyperlink ref="C16" r:id="rId22" xr:uid="{8CFC109A-11D2-48E5-B64B-22AD520E99A6}"/>
    <hyperlink ref="C11" r:id="rId23" xr:uid="{B5922218-51CB-4240-95E1-72FD7F01B522}"/>
    <hyperlink ref="C12" r:id="rId24" xr:uid="{0B0F0215-00BD-43B4-BD49-88B8427B1E0F}"/>
    <hyperlink ref="C10" r:id="rId25" xr:uid="{6A3369C3-C26C-4EA4-82C4-910407F8BD30}"/>
    <hyperlink ref="C13" r:id="rId26" xr:uid="{ABB33436-2DEB-430A-8F78-50F5C28D3568}"/>
    <hyperlink ref="C15" r:id="rId27" xr:uid="{5926DCAE-869D-43E8-8036-602C2129058A}"/>
    <hyperlink ref="C14" r:id="rId28" xr:uid="{D54F5D24-A38B-4B4C-BB80-FD7EA53AD338}"/>
    <hyperlink ref="C9" r:id="rId29" xr:uid="{7C13D99A-42AB-487C-8F6B-D309DE0B37F6}"/>
    <hyperlink ref="C7" r:id="rId30" xr:uid="{4A464649-6F08-47CB-BBAD-8D8C5C6485B9}"/>
  </hyperlinks>
  <pageMargins left="0.7" right="0.7" top="0.75" bottom="0.75" header="0.3" footer="0.3"/>
  <tableParts count="1">
    <tablePart r:id="rId31"/>
  </tableParts>
  <extLst>
    <ext xmlns:x14="http://schemas.microsoft.com/office/spreadsheetml/2009/9/main" uri="{CCE6A557-97BC-4b89-ADB6-D9C93CAAB3DF}">
      <x14:dataValidations xmlns:xm="http://schemas.microsoft.com/office/excel/2006/main" count="3">
        <x14:dataValidation type="list" allowBlank="1" showInputMessage="1" showErrorMessage="1" xr:uid="{DA8FE333-BB0D-4311-A9CF-8975BE866787}">
          <x14:formula1>
            <xm:f>'Data Validation Lists'!$A$2:$A$10</xm:f>
          </x14:formula1>
          <xm:sqref>E2:E31</xm:sqref>
        </x14:dataValidation>
        <x14:dataValidation type="list" allowBlank="1" showInputMessage="1" showErrorMessage="1" xr:uid="{8CC378E2-826B-4215-AD7B-2A370710A08F}">
          <x14:formula1>
            <xm:f>'Data Validation Lists'!$B$2:$B$6</xm:f>
          </x14:formula1>
          <xm:sqref>F2:F31</xm:sqref>
        </x14:dataValidation>
        <x14:dataValidation type="list" allowBlank="1" showInputMessage="1" showErrorMessage="1" xr:uid="{73C5C626-0D68-449D-BB8A-F860082FFF69}">
          <x14:formula1>
            <xm:f>'Data Validation Lists'!$J$3:$J$102</xm:f>
          </x14:formula1>
          <xm:sqref>G2:H31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11C3-C654-4166-AB7B-202D43CEEFF0}">
  <dimension ref="A1:J102"/>
  <sheetViews>
    <sheetView workbookViewId="0">
      <selection activeCell="F17" sqref="F17:F18"/>
    </sheetView>
  </sheetViews>
  <sheetFormatPr defaultRowHeight="15"/>
  <cols>
    <col min="1" max="1" width="24.42578125" customWidth="1"/>
    <col min="2" max="2" width="17.140625" customWidth="1"/>
  </cols>
  <sheetData>
    <row r="1" spans="1:10">
      <c r="A1" t="s">
        <v>4</v>
      </c>
      <c r="B1" t="s">
        <v>134</v>
      </c>
    </row>
    <row r="2" spans="1:10">
      <c r="A2" s="8" t="e" vm="8">
        <v>#VALUE!</v>
      </c>
      <c r="B2" t="s">
        <v>13</v>
      </c>
    </row>
    <row r="3" spans="1:10">
      <c r="A3" s="8" t="e" vm="5">
        <v>#VALUE!</v>
      </c>
      <c r="B3" t="s">
        <v>18</v>
      </c>
      <c r="J3" cm="1">
        <f t="array" ref="J3:J102">_xlfn.SEQUENCE(100)</f>
        <v>1</v>
      </c>
    </row>
    <row r="4" spans="1:10">
      <c r="A4" s="8" t="e" vm="6">
        <v>#VALUE!</v>
      </c>
      <c r="B4" t="s">
        <v>31</v>
      </c>
      <c r="J4">
        <v>2</v>
      </c>
    </row>
    <row r="5" spans="1:10">
      <c r="A5" s="8" t="e" vm="2">
        <v>#VALUE!</v>
      </c>
      <c r="B5" t="s">
        <v>40</v>
      </c>
      <c r="J5">
        <v>3</v>
      </c>
    </row>
    <row r="6" spans="1:10">
      <c r="A6" s="8" t="e" vm="7">
        <v>#VALUE!</v>
      </c>
      <c r="B6" t="s">
        <v>45</v>
      </c>
      <c r="J6">
        <v>4</v>
      </c>
    </row>
    <row r="7" spans="1:10">
      <c r="A7" s="8" t="e" vm="3">
        <v>#VALUE!</v>
      </c>
      <c r="J7">
        <v>5</v>
      </c>
    </row>
    <row r="8" spans="1:10">
      <c r="A8" s="8" t="e" vm="1">
        <v>#VALUE!</v>
      </c>
      <c r="J8">
        <v>6</v>
      </c>
    </row>
    <row r="9" spans="1:10">
      <c r="A9" s="8" t="e" vm="4">
        <v>#VALUE!</v>
      </c>
      <c r="J9">
        <v>7</v>
      </c>
    </row>
    <row r="10" spans="1:10">
      <c r="A10" s="8" t="e" vm="9">
        <v>#VALUE!</v>
      </c>
      <c r="F10" s="8"/>
      <c r="J10">
        <v>8</v>
      </c>
    </row>
    <row r="11" spans="1:10">
      <c r="F11" s="8"/>
      <c r="J11">
        <v>9</v>
      </c>
    </row>
    <row r="12" spans="1:10">
      <c r="F12" s="8"/>
      <c r="J12">
        <v>10</v>
      </c>
    </row>
    <row r="13" spans="1:10">
      <c r="F13" s="8"/>
      <c r="J13">
        <v>11</v>
      </c>
    </row>
    <row r="14" spans="1:10">
      <c r="F14" s="8"/>
      <c r="J14">
        <v>12</v>
      </c>
    </row>
    <row r="15" spans="1:10">
      <c r="F15" s="8"/>
      <c r="J15">
        <v>13</v>
      </c>
    </row>
    <row r="16" spans="1:10">
      <c r="F16" s="8"/>
      <c r="J16">
        <v>14</v>
      </c>
    </row>
    <row r="17" spans="6:10">
      <c r="F17" s="8"/>
      <c r="J17">
        <v>15</v>
      </c>
    </row>
    <row r="18" spans="6:10">
      <c r="F18" s="8"/>
      <c r="J18">
        <v>16</v>
      </c>
    </row>
    <row r="19" spans="6:10">
      <c r="J19">
        <v>17</v>
      </c>
    </row>
    <row r="20" spans="6:10">
      <c r="J20">
        <v>18</v>
      </c>
    </row>
    <row r="21" spans="6:10">
      <c r="J21">
        <v>19</v>
      </c>
    </row>
    <row r="22" spans="6:10">
      <c r="J22">
        <v>20</v>
      </c>
    </row>
    <row r="23" spans="6:10">
      <c r="J23">
        <v>21</v>
      </c>
    </row>
    <row r="24" spans="6:10">
      <c r="J24">
        <v>22</v>
      </c>
    </row>
    <row r="25" spans="6:10">
      <c r="J25">
        <v>23</v>
      </c>
    </row>
    <row r="26" spans="6:10">
      <c r="J26">
        <v>24</v>
      </c>
    </row>
    <row r="27" spans="6:10">
      <c r="J27">
        <v>25</v>
      </c>
    </row>
    <row r="28" spans="6:10">
      <c r="J28">
        <v>26</v>
      </c>
    </row>
    <row r="29" spans="6:10">
      <c r="J29">
        <v>27</v>
      </c>
    </row>
    <row r="30" spans="6:10">
      <c r="J30">
        <v>28</v>
      </c>
    </row>
    <row r="31" spans="6:10">
      <c r="J31">
        <v>29</v>
      </c>
    </row>
    <row r="32" spans="6:10">
      <c r="J32">
        <v>30</v>
      </c>
    </row>
    <row r="33" spans="10:10">
      <c r="J33">
        <v>31</v>
      </c>
    </row>
    <row r="34" spans="10:10">
      <c r="J34">
        <v>32</v>
      </c>
    </row>
    <row r="35" spans="10:10">
      <c r="J35">
        <v>33</v>
      </c>
    </row>
    <row r="36" spans="10:10">
      <c r="J36">
        <v>34</v>
      </c>
    </row>
    <row r="37" spans="10:10">
      <c r="J37">
        <v>35</v>
      </c>
    </row>
    <row r="38" spans="10:10">
      <c r="J38">
        <v>36</v>
      </c>
    </row>
    <row r="39" spans="10:10">
      <c r="J39">
        <v>37</v>
      </c>
    </row>
    <row r="40" spans="10:10">
      <c r="J40">
        <v>38</v>
      </c>
    </row>
    <row r="41" spans="10:10">
      <c r="J41">
        <v>39</v>
      </c>
    </row>
    <row r="42" spans="10:10">
      <c r="J42">
        <v>40</v>
      </c>
    </row>
    <row r="43" spans="10:10">
      <c r="J43">
        <v>41</v>
      </c>
    </row>
    <row r="44" spans="10:10">
      <c r="J44">
        <v>42</v>
      </c>
    </row>
    <row r="45" spans="10:10">
      <c r="J45">
        <v>43</v>
      </c>
    </row>
    <row r="46" spans="10:10">
      <c r="J46">
        <v>44</v>
      </c>
    </row>
    <row r="47" spans="10:10">
      <c r="J47">
        <v>45</v>
      </c>
    </row>
    <row r="48" spans="10:10">
      <c r="J48">
        <v>46</v>
      </c>
    </row>
    <row r="49" spans="10:10">
      <c r="J49">
        <v>47</v>
      </c>
    </row>
    <row r="50" spans="10:10">
      <c r="J50">
        <v>48</v>
      </c>
    </row>
    <row r="51" spans="10:10">
      <c r="J51">
        <v>49</v>
      </c>
    </row>
    <row r="52" spans="10:10">
      <c r="J52">
        <v>50</v>
      </c>
    </row>
    <row r="53" spans="10:10">
      <c r="J53">
        <v>51</v>
      </c>
    </row>
    <row r="54" spans="10:10">
      <c r="J54">
        <v>52</v>
      </c>
    </row>
    <row r="55" spans="10:10">
      <c r="J55">
        <v>53</v>
      </c>
    </row>
    <row r="56" spans="10:10">
      <c r="J56">
        <v>54</v>
      </c>
    </row>
    <row r="57" spans="10:10">
      <c r="J57">
        <v>55</v>
      </c>
    </row>
    <row r="58" spans="10:10">
      <c r="J58">
        <v>56</v>
      </c>
    </row>
    <row r="59" spans="10:10">
      <c r="J59">
        <v>57</v>
      </c>
    </row>
    <row r="60" spans="10:10">
      <c r="J60">
        <v>58</v>
      </c>
    </row>
    <row r="61" spans="10:10">
      <c r="J61">
        <v>59</v>
      </c>
    </row>
    <row r="62" spans="10:10">
      <c r="J62">
        <v>60</v>
      </c>
    </row>
    <row r="63" spans="10:10">
      <c r="J63">
        <v>61</v>
      </c>
    </row>
    <row r="64" spans="10:10">
      <c r="J64">
        <v>62</v>
      </c>
    </row>
    <row r="65" spans="10:10">
      <c r="J65">
        <v>63</v>
      </c>
    </row>
    <row r="66" spans="10:10">
      <c r="J66">
        <v>64</v>
      </c>
    </row>
    <row r="67" spans="10:10">
      <c r="J67">
        <v>65</v>
      </c>
    </row>
    <row r="68" spans="10:10">
      <c r="J68">
        <v>66</v>
      </c>
    </row>
    <row r="69" spans="10:10">
      <c r="J69">
        <v>67</v>
      </c>
    </row>
    <row r="70" spans="10:10">
      <c r="J70">
        <v>68</v>
      </c>
    </row>
    <row r="71" spans="10:10">
      <c r="J71">
        <v>69</v>
      </c>
    </row>
    <row r="72" spans="10:10">
      <c r="J72">
        <v>70</v>
      </c>
    </row>
    <row r="73" spans="10:10">
      <c r="J73">
        <v>71</v>
      </c>
    </row>
    <row r="74" spans="10:10">
      <c r="J74">
        <v>72</v>
      </c>
    </row>
    <row r="75" spans="10:10">
      <c r="J75">
        <v>73</v>
      </c>
    </row>
    <row r="76" spans="10:10">
      <c r="J76">
        <v>74</v>
      </c>
    </row>
    <row r="77" spans="10:10">
      <c r="J77">
        <v>75</v>
      </c>
    </row>
    <row r="78" spans="10:10">
      <c r="J78">
        <v>76</v>
      </c>
    </row>
    <row r="79" spans="10:10">
      <c r="J79">
        <v>77</v>
      </c>
    </row>
    <row r="80" spans="10:10">
      <c r="J80">
        <v>78</v>
      </c>
    </row>
    <row r="81" spans="10:10">
      <c r="J81">
        <v>79</v>
      </c>
    </row>
    <row r="82" spans="10:10">
      <c r="J82">
        <v>80</v>
      </c>
    </row>
    <row r="83" spans="10:10">
      <c r="J83">
        <v>81</v>
      </c>
    </row>
    <row r="84" spans="10:10">
      <c r="J84">
        <v>82</v>
      </c>
    </row>
    <row r="85" spans="10:10">
      <c r="J85">
        <v>83</v>
      </c>
    </row>
    <row r="86" spans="10:10">
      <c r="J86">
        <v>84</v>
      </c>
    </row>
    <row r="87" spans="10:10">
      <c r="J87">
        <v>85</v>
      </c>
    </row>
    <row r="88" spans="10:10">
      <c r="J88">
        <v>86</v>
      </c>
    </row>
    <row r="89" spans="10:10">
      <c r="J89">
        <v>87</v>
      </c>
    </row>
    <row r="90" spans="10:10">
      <c r="J90">
        <v>88</v>
      </c>
    </row>
    <row r="91" spans="10:10">
      <c r="J91">
        <v>89</v>
      </c>
    </row>
    <row r="92" spans="10:10">
      <c r="J92">
        <v>90</v>
      </c>
    </row>
    <row r="93" spans="10:10">
      <c r="J93">
        <v>91</v>
      </c>
    </row>
    <row r="94" spans="10:10">
      <c r="J94">
        <v>92</v>
      </c>
    </row>
    <row r="95" spans="10:10">
      <c r="J95">
        <v>93</v>
      </c>
    </row>
    <row r="96" spans="10:10">
      <c r="J96">
        <v>94</v>
      </c>
    </row>
    <row r="97" spans="10:10">
      <c r="J97">
        <v>95</v>
      </c>
    </row>
    <row r="98" spans="10:10">
      <c r="J98">
        <v>96</v>
      </c>
    </row>
    <row r="99" spans="10:10">
      <c r="J99">
        <v>97</v>
      </c>
    </row>
    <row r="100" spans="10:10">
      <c r="J100">
        <v>98</v>
      </c>
    </row>
    <row r="101" spans="10:10">
      <c r="J101">
        <v>99</v>
      </c>
    </row>
    <row r="102" spans="10:10">
      <c r="J10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B680-74AD-4954-BA86-1C8869BAF884}">
  <dimension ref="A1:I6"/>
  <sheetViews>
    <sheetView workbookViewId="0">
      <selection activeCell="B3" sqref="B3"/>
    </sheetView>
  </sheetViews>
  <sheetFormatPr defaultRowHeight="15"/>
  <cols>
    <col min="1" max="1" width="52.28515625" customWidth="1"/>
  </cols>
  <sheetData>
    <row r="1" spans="1:9" ht="33">
      <c r="A1" s="6" t="s">
        <v>135</v>
      </c>
      <c r="B1" s="4"/>
      <c r="C1" s="4"/>
      <c r="D1" s="4"/>
      <c r="E1" s="4"/>
      <c r="F1" s="4"/>
      <c r="G1" s="4"/>
      <c r="H1" s="4"/>
      <c r="I1" s="4"/>
    </row>
    <row r="3" spans="1:9" ht="21">
      <c r="A3" s="5" t="s">
        <v>136</v>
      </c>
      <c r="B3">
        <f>COUNTA('Data Entry'!A:A)</f>
        <v>31</v>
      </c>
    </row>
    <row r="4" spans="1:9" ht="21">
      <c r="A4" s="5" t="s">
        <v>137</v>
      </c>
      <c r="B4">
        <f>SUM('Data Entry'!G:G)</f>
        <v>587</v>
      </c>
    </row>
    <row r="5" spans="1:9" ht="21">
      <c r="A5" s="5" t="s">
        <v>138</v>
      </c>
      <c r="B5">
        <f>SUM(Table1[Total])</f>
        <v>22585</v>
      </c>
    </row>
    <row r="6" spans="1:9" ht="21">
      <c r="A6" s="5" t="s">
        <v>139</v>
      </c>
      <c r="B6">
        <f>AVERAGE('Data Entry'!H:H)</f>
        <v>42.333333333333336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2026-09-15T15:50:59Z</dcterms:created>
  <dcterms:modified xsi:type="dcterms:W3CDTF">2026-09-15T18:00:31Z</dcterms:modified>
  <cp:category/>
  <cp:contentStatus/>
</cp:coreProperties>
</file>