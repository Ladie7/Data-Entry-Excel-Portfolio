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9"/>
  <workbookPr defaultThemeVersion="166925"/>
  <xr:revisionPtr revIDLastSave="0" documentId="8_{6828694C-EB44-4C3E-8F2C-8042661C902B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Data Entry" sheetId="1" r:id="rId1"/>
    <sheet name="Data Validation Lists" sheetId="2" r:id="rId2"/>
    <sheet name="Summary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B5" i="3"/>
  <c r="B4" i="3"/>
  <c r="B3" i="3"/>
  <c r="J3" i="2" a="1"/>
  <c r="J3" i="2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" i="1"/>
  <c r="I4" i="1"/>
  <c r="I5" i="1"/>
  <c r="I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<sst xmlns="http://schemas.openxmlformats.org/spreadsheetml/2006/main" count="210" uniqueCount="149">
  <si>
    <t>Record ID</t>
  </si>
  <si>
    <t>Full Name</t>
  </si>
  <si>
    <t>Email</t>
  </si>
  <si>
    <t>Phone</t>
  </si>
  <si>
    <t>Region</t>
  </si>
  <si>
    <t>Product</t>
  </si>
  <si>
    <t>Quantity</t>
  </si>
  <si>
    <t>Unit Price</t>
  </si>
  <si>
    <t>Total</t>
  </si>
  <si>
    <t>REC-001</t>
  </si>
  <si>
    <t>Ahmed Benali</t>
  </si>
  <si>
    <t>ahmed.benali@gmail.com</t>
  </si>
  <si>
    <t>+213501234501</t>
  </si>
  <si>
    <t>Algeria</t>
  </si>
  <si>
    <t>Wireless Mouse</t>
  </si>
  <si>
    <t>REC-002</t>
  </si>
  <si>
    <t>sara mansouri</t>
  </si>
  <si>
    <t>sara.mansouri@gmail.com</t>
  </si>
  <si>
    <t>+96551234502</t>
  </si>
  <si>
    <t>Kuwait</t>
  </si>
  <si>
    <t>Keyboard</t>
  </si>
  <si>
    <t>REC-003</t>
  </si>
  <si>
    <t>Yacine Haddad</t>
  </si>
  <si>
    <t>yacine.haddad@gmail.com</t>
  </si>
  <si>
    <t>+962791234503</t>
  </si>
  <si>
    <t>Jordan</t>
  </si>
  <si>
    <t>REC-004</t>
  </si>
  <si>
    <t>Lina Amari</t>
  </si>
  <si>
    <t>lina.amari@gmail.com</t>
  </si>
  <si>
    <t>+216201234504</t>
  </si>
  <si>
    <t>Tunisia</t>
  </si>
  <si>
    <t>REC-005</t>
  </si>
  <si>
    <t>Karim Bensalem</t>
  </si>
  <si>
    <t>karim.bensalem@gmail.com</t>
  </si>
  <si>
    <t>+971501234505</t>
  </si>
  <si>
    <t>United Arab Emirates</t>
  </si>
  <si>
    <t>Notebook</t>
  </si>
  <si>
    <t>REC-006</t>
  </si>
  <si>
    <t>Nadia Merabet</t>
  </si>
  <si>
    <t>Nadia.Merabet@gmail.com</t>
  </si>
  <si>
    <t>+97433124506</t>
  </si>
  <si>
    <t>Qatar</t>
  </si>
  <si>
    <t>REC-007</t>
  </si>
  <si>
    <t>Samir Touati</t>
  </si>
  <si>
    <t>samir.touati@gmail.com</t>
  </si>
  <si>
    <t>+962791234507</t>
  </si>
  <si>
    <t>Desk Lamp</t>
  </si>
  <si>
    <t>REC-008</t>
  </si>
  <si>
    <t>Amel Khelifi</t>
  </si>
  <si>
    <t>Amel.Khelifi@gmail.com</t>
  </si>
  <si>
    <t>+97433124508</t>
  </si>
  <si>
    <t>Laptop Stand</t>
  </si>
  <si>
    <t>REC-009</t>
  </si>
  <si>
    <t>Walid Cherif</t>
  </si>
  <si>
    <t>walid.cherif@gmail.com</t>
  </si>
  <si>
    <t>+201012344509</t>
  </si>
  <si>
    <t>Egypt</t>
  </si>
  <si>
    <t>REC-010</t>
  </si>
  <si>
    <t>Yasmine Rahmani</t>
  </si>
  <si>
    <t>yasmine.rahmani@gmail.com</t>
  </si>
  <si>
    <t>+201012344510</t>
  </si>
  <si>
    <t>REC-011</t>
  </si>
  <si>
    <t>Sofiane Belkacem</t>
  </si>
  <si>
    <t>sofiane.belkacem@gmail.com</t>
  </si>
  <si>
    <t>+213501234511</t>
  </si>
  <si>
    <t>REC-012</t>
  </si>
  <si>
    <t>Ines Hadjiri</t>
  </si>
  <si>
    <t>ines.hadjiri@gmail.com</t>
  </si>
  <si>
    <t>+213501234512</t>
  </si>
  <si>
    <t>REC-013</t>
  </si>
  <si>
    <t>Mourad Saidi</t>
  </si>
  <si>
    <t>Mourad.Saidi@gmail.com</t>
  </si>
  <si>
    <t>+96551234513</t>
  </si>
  <si>
    <t>REC-014</t>
  </si>
  <si>
    <t>Sara Benyahia</t>
  </si>
  <si>
    <t>Sara.Benyahia@gmail.com</t>
  </si>
  <si>
    <t>+96551234514</t>
  </si>
  <si>
    <t>REC-015</t>
  </si>
  <si>
    <t>Rachid Amroune</t>
  </si>
  <si>
    <t>rachid.amroune@gmail.com</t>
  </si>
  <si>
    <t>+97433124515</t>
  </si>
  <si>
    <t>REC-016</t>
  </si>
  <si>
    <t>Hiba Mansouri</t>
  </si>
  <si>
    <t>hiba.mansouri@gmail.com</t>
  </si>
  <si>
    <t>+97433124516</t>
  </si>
  <si>
    <t>REC-017</t>
  </si>
  <si>
    <t>Adel Zerrouki</t>
  </si>
  <si>
    <t>adel.zerrouki@gmail.com</t>
  </si>
  <si>
    <t>+216201234517</t>
  </si>
  <si>
    <t>REC-018</t>
  </si>
  <si>
    <t>Meriem Haddad</t>
  </si>
  <si>
    <t>meriem.haddad@gmail.com</t>
  </si>
  <si>
    <t>+962791234518</t>
  </si>
  <si>
    <t>REC-019</t>
  </si>
  <si>
    <t>Bilal Amari</t>
  </si>
  <si>
    <t>bilal.amari@gmail.com</t>
  </si>
  <si>
    <t>+971501234519</t>
  </si>
  <si>
    <t>REC-020</t>
  </si>
  <si>
    <t>Leila Boudiaf</t>
  </si>
  <si>
    <t>leila.boudiaf@gmail.com</t>
  </si>
  <si>
    <t>+971501234520</t>
  </si>
  <si>
    <t>REC-021</t>
  </si>
  <si>
    <t>Nabil Ferhat</t>
  </si>
  <si>
    <t>nabil.ferhat@gmail.com</t>
  </si>
  <si>
    <t>+97433124521</t>
  </si>
  <si>
    <t>REC-022</t>
  </si>
  <si>
    <t>Amina Saidi</t>
  </si>
  <si>
    <t>amina.saidi@gmail.com</t>
  </si>
  <si>
    <t>+213501234522</t>
  </si>
  <si>
    <t>REC-023</t>
  </si>
  <si>
    <t>Youcef Kaci</t>
  </si>
  <si>
    <t>youcef.kaci@gmail.com</t>
  </si>
  <si>
    <t>+201012344523</t>
  </si>
  <si>
    <t>REC-024</t>
  </si>
  <si>
    <t>Salima Ghezali</t>
  </si>
  <si>
    <t>salima.ghezali@gmail.com</t>
  </si>
  <si>
    <t>+96551234524</t>
  </si>
  <si>
    <t>REC-025</t>
  </si>
  <si>
    <t>Anis Belhadj</t>
  </si>
  <si>
    <t>anis.belhadj@gmail.com</t>
  </si>
  <si>
    <t>+213501234525</t>
  </si>
  <si>
    <t>REC-026</t>
  </si>
  <si>
    <t>Wiam Mokhtar</t>
  </si>
  <si>
    <t>wiam.mokhtar@gmail.com</t>
  </si>
  <si>
    <t>+216201234526</t>
  </si>
  <si>
    <t>REC-027</t>
  </si>
  <si>
    <t>Farid Benamar</t>
  </si>
  <si>
    <t>farid.benamar@gmail.com</t>
  </si>
  <si>
    <t>+962791234527</t>
  </si>
  <si>
    <t>REC-028</t>
  </si>
  <si>
    <t>Lynda Ait Ali</t>
  </si>
  <si>
    <t>lyndaaitali@gmail.com</t>
  </si>
  <si>
    <t>+201012344528</t>
  </si>
  <si>
    <t>REC-029</t>
  </si>
  <si>
    <t>Ismail Rahal</t>
  </si>
  <si>
    <t>ismail.rahal@gmail.co.</t>
  </si>
  <si>
    <t>+201012344529</t>
  </si>
  <si>
    <t>REC-030</t>
  </si>
  <si>
    <t>Hanane Bekkouche</t>
  </si>
  <si>
    <t>hanane.bekkouche@gmail.com</t>
  </si>
  <si>
    <t>+213501234530</t>
  </si>
  <si>
    <t>Products</t>
  </si>
  <si>
    <t>Saudi Arabia</t>
  </si>
  <si>
    <t>Syria</t>
  </si>
  <si>
    <t>Data Entry Summary</t>
  </si>
  <si>
    <t>Total Records</t>
  </si>
  <si>
    <t>Total Quantity</t>
  </si>
  <si>
    <t>Total Sales Value</t>
  </si>
  <si>
    <t>Average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</si>
</sst>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8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onstantia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26"/>
      <color theme="1"/>
      <name val="Century"/>
    </font>
    <font>
      <sz val="11"/>
      <color theme="10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49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/>
    <xf numFmtId="0" fontId="0" fillId="0" borderId="0" xfId="0" applyAlignment="1"/>
    <xf numFmtId="0" fontId="7" fillId="0" borderId="0" xfId="0" applyFont="1"/>
  </cellXfs>
  <cellStyles count="2">
    <cellStyle name="Hyperlink" xfId="1" builtinId="8"/>
    <cellStyle name="Normal" xfId="0" builtinId="0"/>
  </cellStyles>
  <dxfs count="4">
    <dxf>
      <numFmt numFmtId="164" formatCode="&quot;$&quot;#,##0"/>
    </dxf>
    <dxf>
      <numFmt numFmtId="1" formatCode="0"/>
    </dxf>
    <dxf>
      <font>
        <u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tantia"/>
        <scheme val="none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0AC9E0-9B1B-4733-80C6-2BD2EED589C8}" name="Table1" displayName="Table1" ref="A1:I31" totalsRowShown="0" headerRowDxfId="3">
  <autoFilter ref="A1:I31" xr:uid="{9C0AC9E0-9B1B-4733-80C6-2BD2EED589C8}"/>
  <tableColumns count="9">
    <tableColumn id="1" xr3:uid="{0523F579-6A58-475F-BAF8-4A10823874CA}" name="Record ID"/>
    <tableColumn id="2" xr3:uid="{536C0C6E-97BE-4DD5-98AD-FB3E9E0BD5F7}" name="Full Name"/>
    <tableColumn id="3" xr3:uid="{8517EC22-0D64-4067-A285-937C631E6ABA}" name="Email" dataDxfId="2" dataCellStyle="Hyperlink"/>
    <tableColumn id="4" xr3:uid="{7FC7C61B-B9BB-4EDD-9749-1250B34E6D58}" name="Phone" dataDxfId="1"/>
    <tableColumn id="5" xr3:uid="{AAB7472E-8482-4653-8E47-525C2F70E3BE}" name="Region"/>
    <tableColumn id="6" xr3:uid="{6CAD8A1E-5BAF-4031-92A1-945099CEA107}" name="Product"/>
    <tableColumn id="7" xr3:uid="{DE4B4D69-3063-42C3-A870-B57666B35BF4}" name="Quantity"/>
    <tableColumn id="8" xr3:uid="{4EF7E518-1793-4D3C-9ADC-1346D01E2C9D}" name="Unit Price" dataDxfId="0"/>
    <tableColumn id="9" xr3:uid="{DC8D189B-DC13-4439-8C90-25A3CDF82507}" name="Total">
      <calculatedColumnFormula>G2*H2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eila.boudiaf@gmail.com" TargetMode="External"/><Relationship Id="rId13" Type="http://schemas.openxmlformats.org/officeDocument/2006/relationships/hyperlink" Target="mailto:salima.ghezali@gmail.com" TargetMode="External"/><Relationship Id="rId18" Type="http://schemas.openxmlformats.org/officeDocument/2006/relationships/hyperlink" Target="mailto:meriem.haddad@gmail.com" TargetMode="External"/><Relationship Id="rId26" Type="http://schemas.openxmlformats.org/officeDocument/2006/relationships/hyperlink" Target="mailto:ines.hadjiri@gmail.com" TargetMode="External"/><Relationship Id="rId3" Type="http://schemas.openxmlformats.org/officeDocument/2006/relationships/hyperlink" Target="mailto:sara.mansouri@gmail.com" TargetMode="External"/><Relationship Id="rId21" Type="http://schemas.openxmlformats.org/officeDocument/2006/relationships/hyperlink" Target="mailto:adel.zerrouki@gmail.com" TargetMode="External"/><Relationship Id="rId7" Type="http://schemas.openxmlformats.org/officeDocument/2006/relationships/hyperlink" Target="mailto:ismail.rahal@gmail.co" TargetMode="External"/><Relationship Id="rId12" Type="http://schemas.openxmlformats.org/officeDocument/2006/relationships/hyperlink" Target="mailto:karim.bensalem@gmail.com" TargetMode="External"/><Relationship Id="rId17" Type="http://schemas.openxmlformats.org/officeDocument/2006/relationships/hyperlink" Target="mailto:youcef.kaci@gmail.com" TargetMode="External"/><Relationship Id="rId25" Type="http://schemas.openxmlformats.org/officeDocument/2006/relationships/hyperlink" Target="mailto:walid.cherif@gmail.com" TargetMode="External"/><Relationship Id="rId2" Type="http://schemas.openxmlformats.org/officeDocument/2006/relationships/hyperlink" Target="mailto:yacine.haddad@gmail.com" TargetMode="External"/><Relationship Id="rId16" Type="http://schemas.openxmlformats.org/officeDocument/2006/relationships/hyperlink" Target="mailto:farid.benamar@gmail.com" TargetMode="External"/><Relationship Id="rId20" Type="http://schemas.openxmlformats.org/officeDocument/2006/relationships/hyperlink" Target="mailto:amina.saidi@gmail.com" TargetMode="External"/><Relationship Id="rId29" Type="http://schemas.openxmlformats.org/officeDocument/2006/relationships/hyperlink" Target="mailto:Amel.Khelifi@gmail.com" TargetMode="External"/><Relationship Id="rId1" Type="http://schemas.openxmlformats.org/officeDocument/2006/relationships/hyperlink" Target="mailto:lina.amari@gmail.com" TargetMode="External"/><Relationship Id="rId6" Type="http://schemas.openxmlformats.org/officeDocument/2006/relationships/hyperlink" Target="mailto:lyndaaitali@gmail.com" TargetMode="External"/><Relationship Id="rId11" Type="http://schemas.openxmlformats.org/officeDocument/2006/relationships/hyperlink" Target="mailto:wiam.mokhtar@gmail.com" TargetMode="External"/><Relationship Id="rId24" Type="http://schemas.openxmlformats.org/officeDocument/2006/relationships/hyperlink" Target="mailto:sofiane.belkacem@gmail.com" TargetMode="External"/><Relationship Id="rId5" Type="http://schemas.openxmlformats.org/officeDocument/2006/relationships/hyperlink" Target="mailto:hanane.bekkouche@gmail.com" TargetMode="External"/><Relationship Id="rId15" Type="http://schemas.openxmlformats.org/officeDocument/2006/relationships/hyperlink" Target="mailto:samir.touati@gmail.com" TargetMode="External"/><Relationship Id="rId23" Type="http://schemas.openxmlformats.org/officeDocument/2006/relationships/hyperlink" Target="mailto:yasmine.rahmani@gmail.com" TargetMode="External"/><Relationship Id="rId28" Type="http://schemas.openxmlformats.org/officeDocument/2006/relationships/hyperlink" Target="mailto:Mourad.Saidi@gmail.com" TargetMode="External"/><Relationship Id="rId10" Type="http://schemas.openxmlformats.org/officeDocument/2006/relationships/hyperlink" Target="mailto:bilal.amari@gmail.com" TargetMode="External"/><Relationship Id="rId19" Type="http://schemas.openxmlformats.org/officeDocument/2006/relationships/hyperlink" Target="mailto:nabil.ferhat@gmail.com" TargetMode="External"/><Relationship Id="rId31" Type="http://schemas.openxmlformats.org/officeDocument/2006/relationships/table" Target="../tables/table1.xml"/><Relationship Id="rId4" Type="http://schemas.openxmlformats.org/officeDocument/2006/relationships/hyperlink" Target="mailto:ahmed.benali@gmail.com" TargetMode="External"/><Relationship Id="rId9" Type="http://schemas.openxmlformats.org/officeDocument/2006/relationships/hyperlink" Target="mailto:hiba.mansouri@gmail.com" TargetMode="External"/><Relationship Id="rId14" Type="http://schemas.openxmlformats.org/officeDocument/2006/relationships/hyperlink" Target="mailto:anis.belhadj@gmail.com" TargetMode="External"/><Relationship Id="rId22" Type="http://schemas.openxmlformats.org/officeDocument/2006/relationships/hyperlink" Target="mailto:rachid.amroune@gmail.com" TargetMode="External"/><Relationship Id="rId27" Type="http://schemas.openxmlformats.org/officeDocument/2006/relationships/hyperlink" Target="mailto:Sara.Benyahia@gmail.com" TargetMode="External"/><Relationship Id="rId30" Type="http://schemas.openxmlformats.org/officeDocument/2006/relationships/hyperlink" Target="mailto:Nadia.Merab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pane ySplit="1" topLeftCell="A2" activePane="bottomLeft" state="frozen"/>
      <selection pane="bottomLeft" activeCell="E28" sqref="E28"/>
    </sheetView>
  </sheetViews>
  <sheetFormatPr defaultRowHeight="15"/>
  <cols>
    <col min="1" max="1" width="14.28515625" customWidth="1"/>
    <col min="2" max="2" width="16.28515625" customWidth="1"/>
    <col min="3" max="3" width="32.42578125" customWidth="1"/>
    <col min="4" max="4" width="25.42578125" customWidth="1"/>
    <col min="5" max="5" width="23.140625" customWidth="1"/>
    <col min="6" max="6" width="16.85546875" customWidth="1"/>
    <col min="7" max="7" width="16.28515625" customWidth="1"/>
    <col min="8" max="8" width="14" bestFit="1" customWidth="1"/>
    <col min="9" max="9" width="13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s="7" t="s">
        <v>11</v>
      </c>
      <c r="D2" s="2" t="s">
        <v>12</v>
      </c>
      <c r="E2" t="s">
        <v>13</v>
      </c>
      <c r="F2" t="s">
        <v>14</v>
      </c>
      <c r="G2">
        <v>4</v>
      </c>
      <c r="H2" s="3">
        <v>45</v>
      </c>
      <c r="I2">
        <f>G2*H2</f>
        <v>180</v>
      </c>
    </row>
    <row r="3" spans="1:9">
      <c r="A3" t="s">
        <v>15</v>
      </c>
      <c r="B3" t="s">
        <v>16</v>
      </c>
      <c r="C3" s="7" t="s">
        <v>17</v>
      </c>
      <c r="D3" s="2" t="s">
        <v>18</v>
      </c>
      <c r="E3" t="s">
        <v>19</v>
      </c>
      <c r="F3" t="s">
        <v>20</v>
      </c>
      <c r="G3">
        <v>2</v>
      </c>
      <c r="H3" s="3">
        <v>70</v>
      </c>
      <c r="I3">
        <f t="shared" ref="I3:I5" si="0">G3*H3</f>
        <v>140</v>
      </c>
    </row>
    <row r="4" spans="1:9">
      <c r="A4" t="s">
        <v>21</v>
      </c>
      <c r="B4" t="s">
        <v>22</v>
      </c>
      <c r="C4" s="7" t="s">
        <v>23</v>
      </c>
      <c r="D4" s="2" t="s">
        <v>24</v>
      </c>
      <c r="E4" t="s">
        <v>25</v>
      </c>
      <c r="F4" t="s">
        <v>20</v>
      </c>
      <c r="G4">
        <v>6</v>
      </c>
      <c r="H4" s="3">
        <v>70</v>
      </c>
      <c r="I4">
        <f t="shared" si="0"/>
        <v>420</v>
      </c>
    </row>
    <row r="5" spans="1:9">
      <c r="A5" t="s">
        <v>26</v>
      </c>
      <c r="B5" t="s">
        <v>27</v>
      </c>
      <c r="C5" s="7" t="s">
        <v>28</v>
      </c>
      <c r="D5" s="2" t="s">
        <v>29</v>
      </c>
      <c r="E5" t="s">
        <v>30</v>
      </c>
      <c r="F5" t="s">
        <v>20</v>
      </c>
      <c r="G5">
        <v>11</v>
      </c>
      <c r="H5" s="3">
        <v>70</v>
      </c>
      <c r="I5">
        <f t="shared" si="0"/>
        <v>770</v>
      </c>
    </row>
    <row r="6" spans="1:9">
      <c r="A6" t="s">
        <v>31</v>
      </c>
      <c r="B6" t="s">
        <v>32</v>
      </c>
      <c r="C6" s="7" t="s">
        <v>33</v>
      </c>
      <c r="D6" s="2" t="s">
        <v>34</v>
      </c>
      <c r="E6" t="s">
        <v>35</v>
      </c>
      <c r="F6" t="s">
        <v>36</v>
      </c>
      <c r="G6">
        <v>15</v>
      </c>
      <c r="H6" s="3">
        <v>15</v>
      </c>
      <c r="I6">
        <f t="shared" ref="I6:I31" si="1">G6*H6</f>
        <v>225</v>
      </c>
    </row>
    <row r="7" spans="1:9">
      <c r="A7" t="s">
        <v>37</v>
      </c>
      <c r="B7" t="s">
        <v>38</v>
      </c>
      <c r="C7" s="7" t="s">
        <v>39</v>
      </c>
      <c r="D7" s="2" t="s">
        <v>40</v>
      </c>
      <c r="E7" t="s">
        <v>41</v>
      </c>
      <c r="F7" t="s">
        <v>20</v>
      </c>
      <c r="G7">
        <v>2</v>
      </c>
      <c r="H7" s="3">
        <v>70</v>
      </c>
      <c r="I7">
        <f t="shared" si="1"/>
        <v>140</v>
      </c>
    </row>
    <row r="8" spans="1:9">
      <c r="A8" t="s">
        <v>42</v>
      </c>
      <c r="B8" t="s">
        <v>43</v>
      </c>
      <c r="C8" s="7" t="s">
        <v>44</v>
      </c>
      <c r="D8" s="2" t="s">
        <v>45</v>
      </c>
      <c r="E8" t="s">
        <v>25</v>
      </c>
      <c r="F8" t="s">
        <v>46</v>
      </c>
      <c r="G8">
        <v>8</v>
      </c>
      <c r="H8" s="3">
        <v>35</v>
      </c>
      <c r="I8">
        <f t="shared" si="1"/>
        <v>280</v>
      </c>
    </row>
    <row r="9" spans="1:9">
      <c r="A9" t="s">
        <v>47</v>
      </c>
      <c r="B9" t="s">
        <v>48</v>
      </c>
      <c r="C9" s="7" t="s">
        <v>49</v>
      </c>
      <c r="D9" s="2" t="s">
        <v>50</v>
      </c>
      <c r="E9" t="s">
        <v>41</v>
      </c>
      <c r="F9" t="s">
        <v>51</v>
      </c>
      <c r="G9">
        <v>2</v>
      </c>
      <c r="H9" s="3">
        <v>30</v>
      </c>
      <c r="I9">
        <f t="shared" si="1"/>
        <v>60</v>
      </c>
    </row>
    <row r="10" spans="1:9">
      <c r="A10" t="s">
        <v>52</v>
      </c>
      <c r="B10" t="s">
        <v>53</v>
      </c>
      <c r="C10" s="7" t="s">
        <v>54</v>
      </c>
      <c r="D10" s="2" t="s">
        <v>55</v>
      </c>
      <c r="E10" t="s">
        <v>56</v>
      </c>
      <c r="F10" t="s">
        <v>46</v>
      </c>
      <c r="G10">
        <v>8</v>
      </c>
      <c r="H10" s="3">
        <v>35</v>
      </c>
      <c r="I10">
        <f t="shared" si="1"/>
        <v>280</v>
      </c>
    </row>
    <row r="11" spans="1:9">
      <c r="A11" t="s">
        <v>57</v>
      </c>
      <c r="B11" t="s">
        <v>58</v>
      </c>
      <c r="C11" s="7" t="s">
        <v>59</v>
      </c>
      <c r="D11" s="2" t="s">
        <v>60</v>
      </c>
      <c r="E11" t="s">
        <v>56</v>
      </c>
      <c r="F11" t="s">
        <v>36</v>
      </c>
      <c r="G11">
        <v>13</v>
      </c>
      <c r="H11" s="3">
        <v>15</v>
      </c>
      <c r="I11">
        <f t="shared" si="1"/>
        <v>195</v>
      </c>
    </row>
    <row r="12" spans="1:9">
      <c r="A12" t="s">
        <v>61</v>
      </c>
      <c r="B12" t="s">
        <v>62</v>
      </c>
      <c r="C12" s="7" t="s">
        <v>63</v>
      </c>
      <c r="D12" s="2" t="s">
        <v>64</v>
      </c>
      <c r="E12" t="s">
        <v>13</v>
      </c>
      <c r="F12" t="s">
        <v>14</v>
      </c>
      <c r="G12">
        <v>14</v>
      </c>
      <c r="H12" s="3">
        <v>45</v>
      </c>
      <c r="I12">
        <f t="shared" si="1"/>
        <v>630</v>
      </c>
    </row>
    <row r="13" spans="1:9">
      <c r="A13" t="s">
        <v>65</v>
      </c>
      <c r="B13" t="s">
        <v>66</v>
      </c>
      <c r="C13" s="7" t="s">
        <v>67</v>
      </c>
      <c r="D13" s="2" t="s">
        <v>68</v>
      </c>
      <c r="E13" t="s">
        <v>13</v>
      </c>
      <c r="F13" t="s">
        <v>46</v>
      </c>
      <c r="G13">
        <v>25</v>
      </c>
      <c r="H13" s="3">
        <v>35</v>
      </c>
      <c r="I13">
        <f t="shared" si="1"/>
        <v>875</v>
      </c>
    </row>
    <row r="14" spans="1:9">
      <c r="A14" t="s">
        <v>69</v>
      </c>
      <c r="B14" t="s">
        <v>70</v>
      </c>
      <c r="C14" s="7" t="s">
        <v>71</v>
      </c>
      <c r="D14" s="2" t="s">
        <v>72</v>
      </c>
      <c r="E14" t="s">
        <v>19</v>
      </c>
      <c r="F14" t="s">
        <v>14</v>
      </c>
      <c r="G14">
        <v>26</v>
      </c>
      <c r="H14" s="3">
        <v>45</v>
      </c>
      <c r="I14">
        <f t="shared" si="1"/>
        <v>1170</v>
      </c>
    </row>
    <row r="15" spans="1:9">
      <c r="A15" t="s">
        <v>73</v>
      </c>
      <c r="B15" t="s">
        <v>74</v>
      </c>
      <c r="C15" s="7" t="s">
        <v>75</v>
      </c>
      <c r="D15" s="2" t="s">
        <v>76</v>
      </c>
      <c r="E15" t="s">
        <v>19</v>
      </c>
      <c r="F15" t="s">
        <v>14</v>
      </c>
      <c r="G15">
        <v>37</v>
      </c>
      <c r="H15" s="3">
        <v>45</v>
      </c>
      <c r="I15">
        <f t="shared" si="1"/>
        <v>1665</v>
      </c>
    </row>
    <row r="16" spans="1:9">
      <c r="A16" t="s">
        <v>77</v>
      </c>
      <c r="B16" t="s">
        <v>78</v>
      </c>
      <c r="C16" s="7" t="s">
        <v>79</v>
      </c>
      <c r="D16" s="2" t="s">
        <v>80</v>
      </c>
      <c r="E16" t="s">
        <v>41</v>
      </c>
      <c r="F16" t="s">
        <v>36</v>
      </c>
      <c r="G16">
        <v>76</v>
      </c>
      <c r="H16" s="3">
        <v>15</v>
      </c>
      <c r="I16">
        <f t="shared" si="1"/>
        <v>1140</v>
      </c>
    </row>
    <row r="17" spans="1:9">
      <c r="A17" t="s">
        <v>81</v>
      </c>
      <c r="B17" t="s">
        <v>82</v>
      </c>
      <c r="C17" s="7" t="s">
        <v>83</v>
      </c>
      <c r="D17" s="2" t="s">
        <v>84</v>
      </c>
      <c r="E17" t="s">
        <v>41</v>
      </c>
      <c r="F17" t="s">
        <v>20</v>
      </c>
      <c r="G17">
        <v>35</v>
      </c>
      <c r="H17" s="3">
        <v>70</v>
      </c>
      <c r="I17">
        <f t="shared" si="1"/>
        <v>2450</v>
      </c>
    </row>
    <row r="18" spans="1:9">
      <c r="A18" t="s">
        <v>85</v>
      </c>
      <c r="B18" t="s">
        <v>86</v>
      </c>
      <c r="C18" s="7" t="s">
        <v>87</v>
      </c>
      <c r="D18" s="2" t="s">
        <v>88</v>
      </c>
      <c r="E18" t="s">
        <v>30</v>
      </c>
      <c r="F18" t="s">
        <v>14</v>
      </c>
      <c r="G18">
        <v>17</v>
      </c>
      <c r="H18" s="3">
        <v>45</v>
      </c>
      <c r="I18">
        <f t="shared" si="1"/>
        <v>765</v>
      </c>
    </row>
    <row r="19" spans="1:9">
      <c r="A19" t="s">
        <v>89</v>
      </c>
      <c r="B19" t="s">
        <v>90</v>
      </c>
      <c r="C19" s="7" t="s">
        <v>91</v>
      </c>
      <c r="D19" s="2" t="s">
        <v>92</v>
      </c>
      <c r="E19" t="s">
        <v>25</v>
      </c>
      <c r="F19" t="s">
        <v>51</v>
      </c>
      <c r="G19">
        <v>6</v>
      </c>
      <c r="H19" s="3">
        <v>30</v>
      </c>
      <c r="I19">
        <f t="shared" si="1"/>
        <v>180</v>
      </c>
    </row>
    <row r="20" spans="1:9">
      <c r="A20" t="s">
        <v>93</v>
      </c>
      <c r="B20" t="s">
        <v>94</v>
      </c>
      <c r="C20" s="7" t="s">
        <v>95</v>
      </c>
      <c r="D20" s="2" t="s">
        <v>96</v>
      </c>
      <c r="E20" t="s">
        <v>35</v>
      </c>
      <c r="F20" t="s">
        <v>14</v>
      </c>
      <c r="G20">
        <v>8</v>
      </c>
      <c r="H20" s="3">
        <v>45</v>
      </c>
      <c r="I20">
        <f t="shared" si="1"/>
        <v>360</v>
      </c>
    </row>
    <row r="21" spans="1:9">
      <c r="A21" t="s">
        <v>97</v>
      </c>
      <c r="B21" t="s">
        <v>98</v>
      </c>
      <c r="C21" s="7" t="s">
        <v>99</v>
      </c>
      <c r="D21" s="2" t="s">
        <v>100</v>
      </c>
      <c r="E21" t="s">
        <v>35</v>
      </c>
      <c r="F21" t="s">
        <v>36</v>
      </c>
      <c r="G21">
        <v>18</v>
      </c>
      <c r="H21" s="3">
        <v>15</v>
      </c>
      <c r="I21">
        <f t="shared" si="1"/>
        <v>270</v>
      </c>
    </row>
    <row r="22" spans="1:9">
      <c r="A22" t="s">
        <v>101</v>
      </c>
      <c r="B22" t="s">
        <v>102</v>
      </c>
      <c r="C22" s="7" t="s">
        <v>103</v>
      </c>
      <c r="D22" s="2" t="s">
        <v>104</v>
      </c>
      <c r="E22" t="s">
        <v>41</v>
      </c>
      <c r="F22" t="s">
        <v>36</v>
      </c>
      <c r="G22">
        <v>31</v>
      </c>
      <c r="H22" s="3">
        <v>15</v>
      </c>
      <c r="I22">
        <f t="shared" si="1"/>
        <v>465</v>
      </c>
    </row>
    <row r="23" spans="1:9">
      <c r="A23" t="s">
        <v>105</v>
      </c>
      <c r="B23" t="s">
        <v>106</v>
      </c>
      <c r="C23" s="7" t="s">
        <v>107</v>
      </c>
      <c r="D23" s="2" t="s">
        <v>108</v>
      </c>
      <c r="E23" t="s">
        <v>13</v>
      </c>
      <c r="F23" t="s">
        <v>46</v>
      </c>
      <c r="G23">
        <v>26</v>
      </c>
      <c r="H23" s="3">
        <v>35</v>
      </c>
      <c r="I23">
        <f t="shared" si="1"/>
        <v>910</v>
      </c>
    </row>
    <row r="24" spans="1:9">
      <c r="A24" t="s">
        <v>109</v>
      </c>
      <c r="B24" t="s">
        <v>110</v>
      </c>
      <c r="C24" s="7" t="s">
        <v>111</v>
      </c>
      <c r="D24" s="2" t="s">
        <v>112</v>
      </c>
      <c r="E24" t="s">
        <v>56</v>
      </c>
      <c r="F24" t="s">
        <v>20</v>
      </c>
      <c r="G24">
        <v>29</v>
      </c>
      <c r="H24" s="3">
        <v>70</v>
      </c>
      <c r="I24">
        <f t="shared" si="1"/>
        <v>2030</v>
      </c>
    </row>
    <row r="25" spans="1:9">
      <c r="A25" t="s">
        <v>113</v>
      </c>
      <c r="B25" t="s">
        <v>114</v>
      </c>
      <c r="C25" s="7" t="s">
        <v>115</v>
      </c>
      <c r="D25" s="2" t="s">
        <v>116</v>
      </c>
      <c r="E25" t="s">
        <v>19</v>
      </c>
      <c r="F25" t="s">
        <v>46</v>
      </c>
      <c r="G25">
        <v>44</v>
      </c>
      <c r="H25" s="3">
        <v>35</v>
      </c>
      <c r="I25">
        <f t="shared" si="1"/>
        <v>1540</v>
      </c>
    </row>
    <row r="26" spans="1:9">
      <c r="A26" t="s">
        <v>117</v>
      </c>
      <c r="B26" t="s">
        <v>118</v>
      </c>
      <c r="C26" s="7" t="s">
        <v>119</v>
      </c>
      <c r="D26" s="2" t="s">
        <v>120</v>
      </c>
      <c r="E26" t="s">
        <v>13</v>
      </c>
      <c r="F26" t="s">
        <v>46</v>
      </c>
      <c r="G26">
        <v>31</v>
      </c>
      <c r="H26" s="3">
        <v>35</v>
      </c>
      <c r="I26">
        <f t="shared" si="1"/>
        <v>1085</v>
      </c>
    </row>
    <row r="27" spans="1:9">
      <c r="A27" t="s">
        <v>121</v>
      </c>
      <c r="B27" t="s">
        <v>122</v>
      </c>
      <c r="C27" s="7" t="s">
        <v>123</v>
      </c>
      <c r="D27" s="2" t="s">
        <v>124</v>
      </c>
      <c r="E27" t="s">
        <v>30</v>
      </c>
      <c r="F27" t="s">
        <v>46</v>
      </c>
      <c r="G27">
        <v>10</v>
      </c>
      <c r="H27" s="3">
        <v>35</v>
      </c>
      <c r="I27">
        <f t="shared" si="1"/>
        <v>350</v>
      </c>
    </row>
    <row r="28" spans="1:9">
      <c r="A28" t="s">
        <v>125</v>
      </c>
      <c r="B28" t="s">
        <v>126</v>
      </c>
      <c r="C28" s="7" t="s">
        <v>127</v>
      </c>
      <c r="D28" s="2" t="s">
        <v>128</v>
      </c>
      <c r="E28" t="s">
        <v>25</v>
      </c>
      <c r="F28" t="s">
        <v>20</v>
      </c>
      <c r="G28">
        <v>7</v>
      </c>
      <c r="H28" s="3">
        <v>70</v>
      </c>
      <c r="I28">
        <f t="shared" si="1"/>
        <v>490</v>
      </c>
    </row>
    <row r="29" spans="1:9">
      <c r="A29" t="s">
        <v>129</v>
      </c>
      <c r="B29" t="s">
        <v>130</v>
      </c>
      <c r="C29" s="7" t="s">
        <v>131</v>
      </c>
      <c r="D29" s="2" t="s">
        <v>132</v>
      </c>
      <c r="E29" t="s">
        <v>56</v>
      </c>
      <c r="F29" t="s">
        <v>51</v>
      </c>
      <c r="G29">
        <v>17</v>
      </c>
      <c r="H29" s="3">
        <v>30</v>
      </c>
      <c r="I29">
        <f t="shared" si="1"/>
        <v>510</v>
      </c>
    </row>
    <row r="30" spans="1:9">
      <c r="A30" t="s">
        <v>133</v>
      </c>
      <c r="B30" t="s">
        <v>134</v>
      </c>
      <c r="C30" s="7" t="s">
        <v>135</v>
      </c>
      <c r="D30" s="2" t="s">
        <v>136</v>
      </c>
      <c r="E30" t="s">
        <v>56</v>
      </c>
      <c r="F30" t="s">
        <v>51</v>
      </c>
      <c r="G30">
        <v>28</v>
      </c>
      <c r="H30" s="3">
        <v>30</v>
      </c>
      <c r="I30">
        <f t="shared" si="1"/>
        <v>840</v>
      </c>
    </row>
    <row r="31" spans="1:9">
      <c r="A31" t="s">
        <v>137</v>
      </c>
      <c r="B31" t="s">
        <v>138</v>
      </c>
      <c r="C31" s="7" t="s">
        <v>139</v>
      </c>
      <c r="D31" s="2" t="s">
        <v>140</v>
      </c>
      <c r="E31" t="s">
        <v>13</v>
      </c>
      <c r="F31" t="s">
        <v>20</v>
      </c>
      <c r="G31">
        <v>31</v>
      </c>
      <c r="H31" s="3">
        <v>70</v>
      </c>
      <c r="I31">
        <f t="shared" si="1"/>
        <v>2170</v>
      </c>
    </row>
  </sheetData>
  <hyperlinks>
    <hyperlink ref="C5" r:id="rId1" xr:uid="{D18515B0-D32A-4FE7-AE3F-DF8F7076B7F5}"/>
    <hyperlink ref="C4" r:id="rId2" xr:uid="{DF60555F-6C78-4D5F-ACC5-73C366B5E90D}"/>
    <hyperlink ref="C3" r:id="rId3" xr:uid="{669482AD-2592-4A58-8190-892F58B113FC}"/>
    <hyperlink ref="C2" r:id="rId4" xr:uid="{BA90A4DC-01D4-4F10-915E-ADC46F429F53}"/>
    <hyperlink ref="C31" r:id="rId5" xr:uid="{C3508709-9F42-4B12-B6E8-DED7C849CDF2}"/>
    <hyperlink ref="C29" r:id="rId6" xr:uid="{C7E7721E-B953-44FE-B976-DB16D2AAE329}"/>
    <hyperlink ref="C30" r:id="rId7" xr:uid="{819A3179-EBB5-457C-B2EA-8953D27D07A7}"/>
    <hyperlink ref="C21" r:id="rId8" xr:uid="{72D78D79-237B-4912-90E3-0D4D7DB58601}"/>
    <hyperlink ref="C17" r:id="rId9" xr:uid="{D3EAF327-36A4-493F-A858-D73101D6F762}"/>
    <hyperlink ref="C20" r:id="rId10" xr:uid="{782772A1-18CC-4AC3-832F-95D49D891952}"/>
    <hyperlink ref="C27" r:id="rId11" xr:uid="{C94D5DBE-2F0E-4042-85A9-05C2E4FE4E6F}"/>
    <hyperlink ref="C6" r:id="rId12" xr:uid="{115CF411-C9F9-4B76-88AE-3B7FCEC17205}"/>
    <hyperlink ref="C25" r:id="rId13" xr:uid="{01DD2515-E867-4422-9C7F-C6C068B8DAB8}"/>
    <hyperlink ref="C26" r:id="rId14" xr:uid="{0E0D21EE-11FC-4C0E-9777-59CD2DCCD3D6}"/>
    <hyperlink ref="C8" r:id="rId15" xr:uid="{6488AC3B-DF3E-4B9F-9D96-F72CBE871B2E}"/>
    <hyperlink ref="C28" r:id="rId16" xr:uid="{92A87A1B-D6A2-4FEF-84F4-0DB7E04ADB2B}"/>
    <hyperlink ref="C24" r:id="rId17" xr:uid="{4AD5AD90-08DB-440F-9E6E-B73F2CE75B1A}"/>
    <hyperlink ref="C19" r:id="rId18" xr:uid="{0A7E0EC3-28C9-43B5-A9B8-C2574DC48777}"/>
    <hyperlink ref="C22" r:id="rId19" xr:uid="{B1497B01-8F9D-435F-BE7B-97542D480FA0}"/>
    <hyperlink ref="C23" r:id="rId20" xr:uid="{232B9547-BF54-4C1D-973F-0F4BEB9374B6}"/>
    <hyperlink ref="C18" r:id="rId21" xr:uid="{4C17BD9D-F844-4A39-948B-3998EFAEE7A1}"/>
    <hyperlink ref="C16" r:id="rId22" xr:uid="{8CFC109A-11D2-48E5-B64B-22AD520E99A6}"/>
    <hyperlink ref="C11" r:id="rId23" xr:uid="{B5922218-51CB-4240-95E1-72FD7F01B522}"/>
    <hyperlink ref="C12" r:id="rId24" xr:uid="{0B0F0215-00BD-43B4-BD49-88B8427B1E0F}"/>
    <hyperlink ref="C10" r:id="rId25" xr:uid="{6A3369C3-C26C-4EA4-82C4-910407F8BD30}"/>
    <hyperlink ref="C13" r:id="rId26" xr:uid="{ABB33436-2DEB-430A-8F78-50F5C28D3568}"/>
    <hyperlink ref="C15" r:id="rId27" xr:uid="{5926DCAE-869D-43E8-8036-602C2129058A}"/>
    <hyperlink ref="C14" r:id="rId28" xr:uid="{D54F5D24-A38B-4B4C-BB80-FD7EA53AD338}"/>
    <hyperlink ref="C9" r:id="rId29" xr:uid="{7C13D99A-42AB-487C-8F6B-D309DE0B37F6}"/>
    <hyperlink ref="C7" r:id="rId30" xr:uid="{4A464649-6F08-47CB-BBAD-8D8C5C6485B9}"/>
  </hyperlinks>
  <pageMargins left="0.7" right="0.7" top="0.75" bottom="0.75" header="0.3" footer="0.3"/>
  <tableParts count="1">
    <tablePart r:id="rId3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A8FE333-BB0D-4311-A9CF-8975BE866787}">
          <x14:formula1>
            <xm:f>'Data Validation Lists'!$A$2:$A$10</xm:f>
          </x14:formula1>
          <xm:sqref>E2:E31</xm:sqref>
        </x14:dataValidation>
        <x14:dataValidation type="list" allowBlank="1" showInputMessage="1" showErrorMessage="1" xr:uid="{8CC378E2-826B-4215-AD7B-2A370710A08F}">
          <x14:formula1>
            <xm:f>'Data Validation Lists'!$B$2:$B$6</xm:f>
          </x14:formula1>
          <xm:sqref>F2:F31</xm:sqref>
        </x14:dataValidation>
        <x14:dataValidation type="list" allowBlank="1" showInputMessage="1" showErrorMessage="1" xr:uid="{73C5C626-0D68-449D-BB8A-F860082FFF69}">
          <x14:formula1>
            <xm:f>'Data Validation Lists'!$J$3:$J$102</xm:f>
          </x14:formula1>
          <xm:sqref>G2:H31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11C3-C654-4166-AB7B-202D43CEEFF0}">
  <dimension ref="A1:J102"/>
  <sheetViews>
    <sheetView workbookViewId="0">
      <selection activeCell="E4" sqref="E4:E12"/>
    </sheetView>
  </sheetViews>
  <sheetFormatPr defaultRowHeight="15"/>
  <cols>
    <col min="1" max="1" width="24.42578125" customWidth="1"/>
    <col min="2" max="2" width="17.140625" customWidth="1"/>
  </cols>
  <sheetData>
    <row r="1" spans="1:10">
      <c r="A1" t="s">
        <v>4</v>
      </c>
      <c r="B1" t="s">
        <v>141</v>
      </c>
    </row>
    <row r="2" spans="1:10">
      <c r="A2" s="9" t="s">
        <v>142</v>
      </c>
      <c r="B2" t="s">
        <v>14</v>
      </c>
    </row>
    <row r="3" spans="1:10">
      <c r="A3" s="9" t="s">
        <v>35</v>
      </c>
      <c r="B3" t="s">
        <v>20</v>
      </c>
      <c r="J3" cm="1">
        <f t="array" ref="J3:J102">_xlfn.SEQUENCE(100)</f>
        <v>1</v>
      </c>
    </row>
    <row r="4" spans="1:10">
      <c r="A4" s="9" t="s">
        <v>41</v>
      </c>
      <c r="B4" t="s">
        <v>36</v>
      </c>
      <c r="E4" s="9"/>
      <c r="J4">
        <v>2</v>
      </c>
    </row>
    <row r="5" spans="1:10">
      <c r="A5" t="s">
        <v>19</v>
      </c>
      <c r="B5" t="s">
        <v>46</v>
      </c>
      <c r="E5" s="9"/>
      <c r="J5">
        <v>3</v>
      </c>
    </row>
    <row r="6" spans="1:10">
      <c r="A6" s="9" t="s">
        <v>56</v>
      </c>
      <c r="B6" t="s">
        <v>51</v>
      </c>
      <c r="E6" s="9"/>
      <c r="J6">
        <v>4</v>
      </c>
    </row>
    <row r="7" spans="1:10">
      <c r="A7" s="9" t="s">
        <v>25</v>
      </c>
      <c r="J7">
        <v>5</v>
      </c>
    </row>
    <row r="8" spans="1:10">
      <c r="A8" t="s">
        <v>13</v>
      </c>
      <c r="E8" s="9"/>
      <c r="J8">
        <v>6</v>
      </c>
    </row>
    <row r="9" spans="1:10">
      <c r="A9" t="s">
        <v>30</v>
      </c>
      <c r="E9" s="9"/>
      <c r="J9">
        <v>7</v>
      </c>
    </row>
    <row r="10" spans="1:10">
      <c r="A10" t="s">
        <v>143</v>
      </c>
      <c r="F10" s="8"/>
      <c r="J10">
        <v>8</v>
      </c>
    </row>
    <row r="11" spans="1:10">
      <c r="F11" s="8"/>
      <c r="J11">
        <v>9</v>
      </c>
    </row>
    <row r="12" spans="1:10">
      <c r="F12" s="8"/>
      <c r="J12">
        <v>10</v>
      </c>
    </row>
    <row r="13" spans="1:10">
      <c r="F13" s="8"/>
      <c r="J13">
        <v>11</v>
      </c>
    </row>
    <row r="14" spans="1:10">
      <c r="F14" s="8"/>
      <c r="J14">
        <v>12</v>
      </c>
    </row>
    <row r="15" spans="1:10">
      <c r="F15" s="8"/>
      <c r="J15">
        <v>13</v>
      </c>
    </row>
    <row r="16" spans="1:10">
      <c r="F16" s="8"/>
      <c r="J16">
        <v>14</v>
      </c>
    </row>
    <row r="17" spans="6:10">
      <c r="F17" s="8"/>
      <c r="J17">
        <v>15</v>
      </c>
    </row>
    <row r="18" spans="6:10">
      <c r="F18" s="8"/>
      <c r="J18">
        <v>16</v>
      </c>
    </row>
    <row r="19" spans="6:10">
      <c r="J19">
        <v>17</v>
      </c>
    </row>
    <row r="20" spans="6:10">
      <c r="J20">
        <v>18</v>
      </c>
    </row>
    <row r="21" spans="6:10">
      <c r="J21">
        <v>19</v>
      </c>
    </row>
    <row r="22" spans="6:10">
      <c r="J22">
        <v>20</v>
      </c>
    </row>
    <row r="23" spans="6:10">
      <c r="J23">
        <v>21</v>
      </c>
    </row>
    <row r="24" spans="6:10">
      <c r="J24">
        <v>22</v>
      </c>
    </row>
    <row r="25" spans="6:10">
      <c r="J25">
        <v>23</v>
      </c>
    </row>
    <row r="26" spans="6:10">
      <c r="J26">
        <v>24</v>
      </c>
    </row>
    <row r="27" spans="6:10">
      <c r="J27">
        <v>25</v>
      </c>
    </row>
    <row r="28" spans="6:10">
      <c r="J28">
        <v>26</v>
      </c>
    </row>
    <row r="29" spans="6:10">
      <c r="J29">
        <v>27</v>
      </c>
    </row>
    <row r="30" spans="6:10">
      <c r="J30">
        <v>28</v>
      </c>
    </row>
    <row r="31" spans="6:10">
      <c r="J31">
        <v>29</v>
      </c>
    </row>
    <row r="32" spans="6:10">
      <c r="J32">
        <v>30</v>
      </c>
    </row>
    <row r="33" spans="10:10">
      <c r="J33">
        <v>31</v>
      </c>
    </row>
    <row r="34" spans="10:10">
      <c r="J34">
        <v>32</v>
      </c>
    </row>
    <row r="35" spans="10:10">
      <c r="J35">
        <v>33</v>
      </c>
    </row>
    <row r="36" spans="10:10">
      <c r="J36">
        <v>34</v>
      </c>
    </row>
    <row r="37" spans="10:10">
      <c r="J37">
        <v>35</v>
      </c>
    </row>
    <row r="38" spans="10:10">
      <c r="J38">
        <v>36</v>
      </c>
    </row>
    <row r="39" spans="10:10">
      <c r="J39">
        <v>37</v>
      </c>
    </row>
    <row r="40" spans="10:10">
      <c r="J40">
        <v>38</v>
      </c>
    </row>
    <row r="41" spans="10:10">
      <c r="J41">
        <v>39</v>
      </c>
    </row>
    <row r="42" spans="10:10">
      <c r="J42">
        <v>40</v>
      </c>
    </row>
    <row r="43" spans="10:10">
      <c r="J43">
        <v>41</v>
      </c>
    </row>
    <row r="44" spans="10:10">
      <c r="J44">
        <v>42</v>
      </c>
    </row>
    <row r="45" spans="10:10">
      <c r="J45">
        <v>43</v>
      </c>
    </row>
    <row r="46" spans="10:10">
      <c r="J46">
        <v>44</v>
      </c>
    </row>
    <row r="47" spans="10:10">
      <c r="J47">
        <v>45</v>
      </c>
    </row>
    <row r="48" spans="10:10">
      <c r="J48">
        <v>46</v>
      </c>
    </row>
    <row r="49" spans="10:10">
      <c r="J49">
        <v>47</v>
      </c>
    </row>
    <row r="50" spans="10:10">
      <c r="J50">
        <v>48</v>
      </c>
    </row>
    <row r="51" spans="10:10">
      <c r="J51">
        <v>49</v>
      </c>
    </row>
    <row r="52" spans="10:10">
      <c r="J52">
        <v>50</v>
      </c>
    </row>
    <row r="53" spans="10:10">
      <c r="J53">
        <v>51</v>
      </c>
    </row>
    <row r="54" spans="10:10">
      <c r="J54">
        <v>52</v>
      </c>
    </row>
    <row r="55" spans="10:10">
      <c r="J55">
        <v>53</v>
      </c>
    </row>
    <row r="56" spans="10:10">
      <c r="J56">
        <v>54</v>
      </c>
    </row>
    <row r="57" spans="10:10">
      <c r="J57">
        <v>55</v>
      </c>
    </row>
    <row r="58" spans="10:10">
      <c r="J58">
        <v>56</v>
      </c>
    </row>
    <row r="59" spans="10:10">
      <c r="J59">
        <v>57</v>
      </c>
    </row>
    <row r="60" spans="10:10">
      <c r="J60">
        <v>58</v>
      </c>
    </row>
    <row r="61" spans="10:10">
      <c r="J61">
        <v>59</v>
      </c>
    </row>
    <row r="62" spans="10:10">
      <c r="J62">
        <v>60</v>
      </c>
    </row>
    <row r="63" spans="10:10">
      <c r="J63">
        <v>61</v>
      </c>
    </row>
    <row r="64" spans="10:10">
      <c r="J64">
        <v>62</v>
      </c>
    </row>
    <row r="65" spans="10:10">
      <c r="J65">
        <v>63</v>
      </c>
    </row>
    <row r="66" spans="10:10">
      <c r="J66">
        <v>64</v>
      </c>
    </row>
    <row r="67" spans="10:10">
      <c r="J67">
        <v>65</v>
      </c>
    </row>
    <row r="68" spans="10:10">
      <c r="J68">
        <v>66</v>
      </c>
    </row>
    <row r="69" spans="10:10">
      <c r="J69">
        <v>67</v>
      </c>
    </row>
    <row r="70" spans="10:10">
      <c r="J70">
        <v>68</v>
      </c>
    </row>
    <row r="71" spans="10:10">
      <c r="J71">
        <v>69</v>
      </c>
    </row>
    <row r="72" spans="10:10">
      <c r="J72">
        <v>70</v>
      </c>
    </row>
    <row r="73" spans="10:10">
      <c r="J73">
        <v>71</v>
      </c>
    </row>
    <row r="74" spans="10:10">
      <c r="J74">
        <v>72</v>
      </c>
    </row>
    <row r="75" spans="10:10">
      <c r="J75">
        <v>73</v>
      </c>
    </row>
    <row r="76" spans="10:10">
      <c r="J76">
        <v>74</v>
      </c>
    </row>
    <row r="77" spans="10:10">
      <c r="J77">
        <v>75</v>
      </c>
    </row>
    <row r="78" spans="10:10">
      <c r="J78">
        <v>76</v>
      </c>
    </row>
    <row r="79" spans="10:10">
      <c r="J79">
        <v>77</v>
      </c>
    </row>
    <row r="80" spans="10:10">
      <c r="J80">
        <v>78</v>
      </c>
    </row>
    <row r="81" spans="10:10">
      <c r="J81">
        <v>79</v>
      </c>
    </row>
    <row r="82" spans="10:10">
      <c r="J82">
        <v>80</v>
      </c>
    </row>
    <row r="83" spans="10:10">
      <c r="J83">
        <v>81</v>
      </c>
    </row>
    <row r="84" spans="10:10">
      <c r="J84">
        <v>82</v>
      </c>
    </row>
    <row r="85" spans="10:10">
      <c r="J85">
        <v>83</v>
      </c>
    </row>
    <row r="86" spans="10:10">
      <c r="J86">
        <v>84</v>
      </c>
    </row>
    <row r="87" spans="10:10">
      <c r="J87">
        <v>85</v>
      </c>
    </row>
    <row r="88" spans="10:10">
      <c r="J88">
        <v>86</v>
      </c>
    </row>
    <row r="89" spans="10:10">
      <c r="J89">
        <v>87</v>
      </c>
    </row>
    <row r="90" spans="10:10">
      <c r="J90">
        <v>88</v>
      </c>
    </row>
    <row r="91" spans="10:10">
      <c r="J91">
        <v>89</v>
      </c>
    </row>
    <row r="92" spans="10:10">
      <c r="J92">
        <v>90</v>
      </c>
    </row>
    <row r="93" spans="10:10">
      <c r="J93">
        <v>91</v>
      </c>
    </row>
    <row r="94" spans="10:10">
      <c r="J94">
        <v>92</v>
      </c>
    </row>
    <row r="95" spans="10:10">
      <c r="J95">
        <v>93</v>
      </c>
    </row>
    <row r="96" spans="10:10">
      <c r="J96">
        <v>94</v>
      </c>
    </row>
    <row r="97" spans="10:10">
      <c r="J97">
        <v>95</v>
      </c>
    </row>
    <row r="98" spans="10:10">
      <c r="J98">
        <v>96</v>
      </c>
    </row>
    <row r="99" spans="10:10">
      <c r="J99">
        <v>97</v>
      </c>
    </row>
    <row r="100" spans="10:10">
      <c r="J100">
        <v>98</v>
      </c>
    </row>
    <row r="101" spans="10:10">
      <c r="J101">
        <v>99</v>
      </c>
    </row>
    <row r="102" spans="10:10">
      <c r="J10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B680-74AD-4954-BA86-1C8869BAF884}">
  <dimension ref="A1:I6"/>
  <sheetViews>
    <sheetView workbookViewId="0">
      <selection activeCell="B3" sqref="B3"/>
    </sheetView>
  </sheetViews>
  <sheetFormatPr defaultRowHeight="15"/>
  <cols>
    <col min="1" max="1" width="52.28515625" customWidth="1"/>
  </cols>
  <sheetData>
    <row r="1" spans="1:9" ht="33">
      <c r="A1" s="6" t="s">
        <v>144</v>
      </c>
      <c r="B1" s="4"/>
      <c r="C1" s="4"/>
      <c r="D1" s="4"/>
      <c r="E1" s="4"/>
      <c r="F1" s="4"/>
      <c r="G1" s="4"/>
      <c r="H1" s="4"/>
      <c r="I1" s="4"/>
    </row>
    <row r="3" spans="1:9" ht="21">
      <c r="A3" s="5" t="s">
        <v>145</v>
      </c>
      <c r="B3">
        <f>COUNTA('Data Entry'!A:A)</f>
        <v>31</v>
      </c>
    </row>
    <row r="4" spans="1:9" ht="21">
      <c r="A4" s="5" t="s">
        <v>146</v>
      </c>
      <c r="B4">
        <f>SUM('Data Entry'!G:G)</f>
        <v>587</v>
      </c>
    </row>
    <row r="5" spans="1:9" ht="21">
      <c r="A5" s="5" t="s">
        <v>147</v>
      </c>
      <c r="B5">
        <f>SUM(Table1[Total])</f>
        <v>22585</v>
      </c>
    </row>
    <row r="6" spans="1:9" ht="21">
      <c r="A6" s="5" t="s">
        <v>148</v>
      </c>
      <c r="B6">
        <f>AVERAGE('Data Entry'!H:H)</f>
        <v>42.333333333333336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2026-09-15T15:50:59Z</dcterms:created>
  <dcterms:modified xsi:type="dcterms:W3CDTF">2026-09-15T18:14:08Z</dcterms:modified>
  <cp:category/>
  <cp:contentStatus/>
</cp:coreProperties>
</file>