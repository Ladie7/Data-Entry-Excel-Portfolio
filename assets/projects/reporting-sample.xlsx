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ethi\Downloads\"/>
    </mc:Choice>
  </mc:AlternateContent>
  <xr:revisionPtr revIDLastSave="0" documentId="13_ncr:1_{4D4822D6-DBFC-4D54-91CA-A3177B1F1A68}" xr6:coauthVersionLast="47" xr6:coauthVersionMax="47" xr10:uidLastSave="{00000000-0000-0000-0000-000000000000}"/>
  <bookViews>
    <workbookView xWindow="-120" yWindow="-120" windowWidth="20730" windowHeight="11160" activeTab="2" xr2:uid="{A0038F45-7E35-4D49-AC30-F60D5722B457}"/>
  </bookViews>
  <sheets>
    <sheet name="Transactions" sheetId="1" r:id="rId1"/>
    <sheet name="Monthly Summary" sheetId="2" r:id="rId2"/>
    <sheet name="Dashboard" sheetId="3" r:id="rId3"/>
    <sheet name="Sales by Region" sheetId="4" r:id="rId4"/>
    <sheet name="Sales by Product" sheetId="5" r:id="rId5"/>
    <sheet name="Sales by person" sheetId="6" r:id="rId6"/>
    <sheet name="Sales by Date" sheetId="9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3" l="1"/>
  <c r="E10" i="3"/>
  <c r="H7" i="3"/>
  <c r="E7" i="3"/>
  <c r="B5" i="2"/>
  <c r="B8" i="2"/>
  <c r="B7" i="2"/>
  <c r="B6" i="2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<sst xmlns="http://schemas.openxmlformats.org/spreadsheetml/2006/main" count="549" uniqueCount="139">
  <si>
    <t>Date</t>
  </si>
  <si>
    <t>Salesperson</t>
  </si>
  <si>
    <t>Region</t>
  </si>
  <si>
    <t>Product</t>
  </si>
  <si>
    <t>Quantity</t>
  </si>
  <si>
    <t>Unit Price</t>
  </si>
  <si>
    <t>Status</t>
  </si>
  <si>
    <t>Order ID</t>
  </si>
  <si>
    <t>Total Sales</t>
  </si>
  <si>
    <t>ORD001</t>
  </si>
  <si>
    <t>Lina</t>
  </si>
  <si>
    <t>North</t>
  </si>
  <si>
    <t>Headset</t>
  </si>
  <si>
    <t>Completed</t>
  </si>
  <si>
    <t>ORD002</t>
  </si>
  <si>
    <t>East</t>
  </si>
  <si>
    <t>Monitor</t>
  </si>
  <si>
    <t>ORD003</t>
  </si>
  <si>
    <t>Sara</t>
  </si>
  <si>
    <t>West</t>
  </si>
  <si>
    <t>Laptop</t>
  </si>
  <si>
    <t>ORD004</t>
  </si>
  <si>
    <t>South</t>
  </si>
  <si>
    <t>ORD005</t>
  </si>
  <si>
    <t>Ahmed</t>
  </si>
  <si>
    <t>Printer</t>
  </si>
  <si>
    <t>ORD006</t>
  </si>
  <si>
    <t>Keyboard</t>
  </si>
  <si>
    <t>ORD007</t>
  </si>
  <si>
    <t>Yacine</t>
  </si>
  <si>
    <t>Mouse</t>
  </si>
  <si>
    <t>Pending</t>
  </si>
  <si>
    <t>ORD008</t>
  </si>
  <si>
    <t>ORD009</t>
  </si>
  <si>
    <t>ORD010</t>
  </si>
  <si>
    <t>ORD011</t>
  </si>
  <si>
    <t>ORD012</t>
  </si>
  <si>
    <t>ORD013</t>
  </si>
  <si>
    <t>Meriem</t>
  </si>
  <si>
    <t>Cancelled</t>
  </si>
  <si>
    <t>ORD014</t>
  </si>
  <si>
    <t>ORD015</t>
  </si>
  <si>
    <t>ORD016</t>
  </si>
  <si>
    <t>ORD017</t>
  </si>
  <si>
    <t>ORD018</t>
  </si>
  <si>
    <t>Omar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</si>
  <si>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</si>
  <si>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</si>
  <si>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</si>
  <si>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</si>
  <si>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</si>
  <si>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</si>
  <si>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</si>
  <si>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</si>
  <si>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</si>
  <si>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</si>
  <si>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</si>
  <si>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</si>
  <si>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</si>
  <si>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</si>
  <si>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</si>
  <si>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</si>
  <si>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</si>
  <si>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</si>
  <si>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</si>
  <si>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</si>
  <si>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</si>
  <si>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</si>
  <si>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</si>
  <si>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</si>
  <si>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</si>
  <si>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</si>
  <si>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</si>
  <si>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</si>
  <si>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</si>
  <si>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</si>
  <si>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</si>
  <si>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</si>
  <si>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</si>
  <si>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</si>
  <si>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</si>
  <si>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</si>
  <si>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</si>
  <si>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</si>
  <si>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</si>
  <si>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</si>
  <si>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</si>
  <si>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</si>
  <si>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</si>
  <si>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</si>
  <si>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</si>
  <si>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</si>
  <si>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</si>
  <si>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</si>
  <si>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</si>
  <si>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</si>
  <si>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</si>
  <si>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</si>
  <si>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</si>
  <si>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</si>
  <si>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</si>
  <si>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</si>
  <si>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</si>
  <si>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</si>
  <si>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</si>
  <si>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</si>
  <si>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</si>
  <si>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</si>
  <si>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</si>
  <si>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</si>
  <si>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</si>
  <si>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</si>
  <si>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</si>
  <si>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</si>
  <si>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</si>
  <si>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</si>
  <si>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</si>
  <si>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</si>
  <si>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</si>
  <si>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</si>
  <si>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</si>
  <si>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</si>
  <si>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</si>
  <si>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</si>
  <si>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</si>
  <si>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</si>
  <si>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</si>
  <si>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</si>
  <si>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Sales Analysis</t>
  </si>
  <si>
    <t>Total Orders</t>
  </si>
  <si>
    <t>Total Quantity</t>
  </si>
  <si>
    <t>Average Order Value</t>
  </si>
  <si>
    <t>Row Labels</t>
  </si>
  <si>
    <t>Grand Total</t>
  </si>
  <si>
    <t>Sum of Total Sales</t>
  </si>
  <si>
    <t>Sales Performance Dashboard</t>
  </si>
  <si>
    <t>September 2026 • Reporting Data</t>
  </si>
  <si>
    <t>Units Sold</t>
  </si>
  <si>
    <t>Average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</si>
</sst>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Georgia Pro Cond Semibold"/>
      <family val="1"/>
    </font>
    <font>
      <sz val="18"/>
      <color theme="1"/>
      <name val="Arial Unicode MS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3" fillId="0" borderId="4" xfId="0" applyNumberFormat="1" applyFont="1" applyBorder="1"/>
    <xf numFmtId="14" fontId="0" fillId="0" borderId="2" xfId="0" applyNumberFormat="1" applyBorder="1"/>
    <xf numFmtId="14" fontId="0" fillId="0" borderId="9" xfId="0" applyNumberFormat="1" applyBorder="1"/>
    <xf numFmtId="14" fontId="0" fillId="0" borderId="0" xfId="0" applyNumberFormat="1"/>
    <xf numFmtId="1" fontId="3" fillId="0" borderId="4" xfId="0" applyNumberFormat="1" applyFont="1" applyBorder="1"/>
    <xf numFmtId="1" fontId="0" fillId="0" borderId="2" xfId="0" applyNumberFormat="1" applyBorder="1"/>
    <xf numFmtId="1" fontId="0" fillId="0" borderId="9" xfId="0" applyNumberFormat="1" applyBorder="1"/>
    <xf numFmtId="1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2" borderId="1" xfId="1" applyFont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0" fontId="6" fillId="2" borderId="1" xfId="1" applyFont="1" applyAlignment="1">
      <alignment horizontal="center"/>
    </xf>
    <xf numFmtId="0" fontId="6" fillId="0" borderId="0" xfId="0" applyFont="1" applyBorder="1"/>
    <xf numFmtId="1" fontId="6" fillId="2" borderId="1" xfId="1" applyNumberFormat="1" applyFont="1" applyAlignment="1">
      <alignment horizontal="center"/>
    </xf>
    <xf numFmtId="175" fontId="6" fillId="2" borderId="1" xfId="1" applyNumberFormat="1" applyFont="1" applyAlignment="1">
      <alignment horizontal="center"/>
    </xf>
    <xf numFmtId="0" fontId="0" fillId="2" borderId="1" xfId="1" applyFont="1" applyAlignment="1">
      <alignment horizontal="center"/>
    </xf>
  </cellXfs>
  <cellStyles count="2">
    <cellStyle name="Normal" xfId="0" builtinId="0"/>
    <cellStyle name="Note" xfId="1" builtinId="1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 Pro Cond Semibold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Region!PivotTable1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Sales</a:t>
            </a:r>
            <a:r>
              <a:rPr lang="fr-FR" baseline="0"/>
              <a:t> by Region</a:t>
            </a:r>
          </a:p>
        </c:rich>
      </c:tx>
      <c:layout>
        <c:manualLayout>
          <c:xMode val="edge"/>
          <c:yMode val="edge"/>
          <c:x val="0.3458818897637795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2221500</c:v>
                </c:pt>
                <c:pt idx="1">
                  <c:v>2223500</c:v>
                </c:pt>
                <c:pt idx="2">
                  <c:v>2184000</c:v>
                </c:pt>
                <c:pt idx="3">
                  <c:v>3104500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1-458E-8A04-283B0B584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12344528"/>
        <c:axId val="512345008"/>
      </c:barChart>
      <c:catAx>
        <c:axId val="5123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345008"/>
        <c:crosses val="autoZero"/>
        <c:auto val="1"/>
        <c:lblAlgn val="ctr"/>
        <c:lblOffset val="100"/>
        <c:noMultiLvlLbl val="0"/>
      </c:catAx>
      <c:valAx>
        <c:axId val="5123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34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Date!PivotTable4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'Sales by Date'!$A$4:$A$32</c:f>
              <c:strCache>
                <c:ptCount val="28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17/09/2026</c:v>
                </c:pt>
                <c:pt idx="16">
                  <c:v>18/09/2026</c:v>
                </c:pt>
                <c:pt idx="17">
                  <c:v>19/09/2026</c:v>
                </c:pt>
                <c:pt idx="18">
                  <c:v>20/09/2026</c:v>
                </c:pt>
                <c:pt idx="19">
                  <c:v>21/09/2026</c:v>
                </c:pt>
                <c:pt idx="20">
                  <c:v>22/09/2026</c:v>
                </c:pt>
                <c:pt idx="21">
                  <c:v>23/09/2026</c:v>
                </c:pt>
                <c:pt idx="22">
                  <c:v>24/09/2026</c:v>
                </c:pt>
                <c:pt idx="23">
                  <c:v>25/09/2026</c:v>
                </c:pt>
                <c:pt idx="24">
                  <c:v>26/09/2026</c:v>
                </c:pt>
                <c:pt idx="25">
                  <c:v>27/09/2026</c:v>
                </c:pt>
                <c:pt idx="26">
                  <c:v>28/09/2026</c:v>
                </c:pt>
                <c:pt idx="27">
                  <c:v>29/09/2026</c:v>
                </c:pt>
              </c:strCache>
            </c:strRef>
          </c:cat>
          <c:val>
            <c:numRef>
              <c:f>'Sales by Date'!$B$4:$B$32</c:f>
              <c:numCache>
                <c:formatCode>General</c:formatCode>
                <c:ptCount val="28"/>
                <c:pt idx="0">
                  <c:v>271000</c:v>
                </c:pt>
                <c:pt idx="1">
                  <c:v>164500</c:v>
                </c:pt>
                <c:pt idx="2">
                  <c:v>884000</c:v>
                </c:pt>
                <c:pt idx="3">
                  <c:v>4500</c:v>
                </c:pt>
                <c:pt idx="4">
                  <c:v>1366500</c:v>
                </c:pt>
                <c:pt idx="5">
                  <c:v>17500</c:v>
                </c:pt>
                <c:pt idx="6">
                  <c:v>1059500</c:v>
                </c:pt>
                <c:pt idx="7">
                  <c:v>202000</c:v>
                </c:pt>
                <c:pt idx="8">
                  <c:v>383000</c:v>
                </c:pt>
                <c:pt idx="9">
                  <c:v>161000</c:v>
                </c:pt>
                <c:pt idx="10">
                  <c:v>243500</c:v>
                </c:pt>
                <c:pt idx="11">
                  <c:v>133000</c:v>
                </c:pt>
                <c:pt idx="12">
                  <c:v>574000</c:v>
                </c:pt>
                <c:pt idx="13">
                  <c:v>267500</c:v>
                </c:pt>
                <c:pt idx="14">
                  <c:v>386000</c:v>
                </c:pt>
                <c:pt idx="15">
                  <c:v>220000</c:v>
                </c:pt>
                <c:pt idx="16">
                  <c:v>337000</c:v>
                </c:pt>
                <c:pt idx="17">
                  <c:v>112000</c:v>
                </c:pt>
                <c:pt idx="18">
                  <c:v>104000</c:v>
                </c:pt>
                <c:pt idx="19">
                  <c:v>246500</c:v>
                </c:pt>
                <c:pt idx="20">
                  <c:v>289500</c:v>
                </c:pt>
                <c:pt idx="21">
                  <c:v>638000</c:v>
                </c:pt>
                <c:pt idx="22">
                  <c:v>330000</c:v>
                </c:pt>
                <c:pt idx="23">
                  <c:v>352500</c:v>
                </c:pt>
                <c:pt idx="24">
                  <c:v>521000</c:v>
                </c:pt>
                <c:pt idx="25">
                  <c:v>193500</c:v>
                </c:pt>
                <c:pt idx="26">
                  <c:v>140000</c:v>
                </c:pt>
                <c:pt idx="27">
                  <c:v>132000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8-422B-94CE-32ACBB531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156784"/>
        <c:axId val="761153424"/>
      </c:lineChart>
      <c:catAx>
        <c:axId val="7611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1153424"/>
        <c:crosses val="autoZero"/>
        <c:auto val="1"/>
        <c:lblAlgn val="ctr"/>
        <c:lblOffset val="100"/>
        <c:noMultiLvlLbl val="0"/>
      </c:catAx>
      <c:valAx>
        <c:axId val="7611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11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Product!PivotTable2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Sales by Product</a:t>
            </a:r>
          </a:p>
        </c:rich>
      </c:tx>
      <c:layout>
        <c:manualLayout>
          <c:xMode val="edge"/>
          <c:yMode val="edge"/>
          <c:x val="0.3634166666666667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2F-4B9D-A098-A06CDB9690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2F-4B9D-A098-A06CDB9690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2F-4B9D-A098-A06CDB9690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02F-4B9D-A098-A06CDB9690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02F-4B9D-A098-A06CDB9690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02F-4B9D-A098-A06CDB9690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Product'!$A$4:$A$10</c:f>
              <c:strCache>
                <c:ptCount val="6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513500</c:v>
                </c:pt>
                <c:pt idx="1">
                  <c:v>418500</c:v>
                </c:pt>
                <c:pt idx="2">
                  <c:v>4335000</c:v>
                </c:pt>
                <c:pt idx="3">
                  <c:v>1936000</c:v>
                </c:pt>
                <c:pt idx="4">
                  <c:v>162500</c:v>
                </c:pt>
                <c:pt idx="5">
                  <c:v>2368000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2F-4B9D-A098-A06CDB9690F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person!PivotTable3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Sales by Prson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person'!$B$3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'Sales by person'!$A$4:$A$10</c:f>
              <c:strCache>
                <c:ptCount val="6"/>
                <c:pt idx="0">
                  <c:v>Ahmed</c:v>
                </c:pt>
                <c:pt idx="1">
                  <c:v>Lina</c:v>
                </c:pt>
                <c:pt idx="2">
                  <c:v>Meriem</c:v>
                </c:pt>
                <c:pt idx="3">
                  <c:v>Omar</c:v>
                </c:pt>
                <c:pt idx="4">
                  <c:v>Sara</c:v>
                </c:pt>
                <c:pt idx="5">
                  <c:v>Yacine</c:v>
                </c:pt>
              </c:strCache>
            </c:strRef>
          </c:cat>
          <c:val>
            <c:numRef>
              <c:f>'Sales by person'!$B$4:$B$10</c:f>
              <c:numCache>
                <c:formatCode>General</c:formatCode>
                <c:ptCount val="6"/>
                <c:pt idx="0">
                  <c:v>1571500</c:v>
                </c:pt>
                <c:pt idx="1">
                  <c:v>2301500</c:v>
                </c:pt>
                <c:pt idx="2">
                  <c:v>2161000</c:v>
                </c:pt>
                <c:pt idx="3">
                  <c:v>1358000</c:v>
                </c:pt>
                <c:pt idx="4">
                  <c:v>1029000</c:v>
                </c:pt>
                <c:pt idx="5">
                  <c:v>1312500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8-4CF0-B034-C77BA18A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318976"/>
        <c:axId val="616319936"/>
      </c:lineChart>
      <c:catAx>
        <c:axId val="6163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319936"/>
        <c:crosses val="autoZero"/>
        <c:auto val="1"/>
        <c:lblAlgn val="ctr"/>
        <c:lblOffset val="100"/>
        <c:noMultiLvlLbl val="0"/>
      </c:catAx>
      <c:valAx>
        <c:axId val="6163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31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Region!PivotTable1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2221500</c:v>
                </c:pt>
                <c:pt idx="1">
                  <c:v>2223500</c:v>
                </c:pt>
                <c:pt idx="2">
                  <c:v>2184000</c:v>
                </c:pt>
                <c:pt idx="3">
                  <c:v>3104500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5-4833-9036-CDF3B2D9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44528"/>
        <c:axId val="512345008"/>
      </c:barChart>
      <c:catAx>
        <c:axId val="5123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345008"/>
        <c:crosses val="autoZero"/>
        <c:auto val="1"/>
        <c:lblAlgn val="ctr"/>
        <c:lblOffset val="100"/>
        <c:noMultiLvlLbl val="0"/>
      </c:catAx>
      <c:valAx>
        <c:axId val="5123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34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[reporting-sample.xlsx]Sales by Date!PivotTable4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Date'!$A$4:$A$32</c:f>
              <c:strCache>
                <c:ptCount val="28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17/09/2026</c:v>
                </c:pt>
                <c:pt idx="16">
                  <c:v>18/09/2026</c:v>
                </c:pt>
                <c:pt idx="17">
                  <c:v>19/09/2026</c:v>
                </c:pt>
                <c:pt idx="18">
                  <c:v>20/09/2026</c:v>
                </c:pt>
                <c:pt idx="19">
                  <c:v>21/09/2026</c:v>
                </c:pt>
                <c:pt idx="20">
                  <c:v>22/09/2026</c:v>
                </c:pt>
                <c:pt idx="21">
                  <c:v>23/09/2026</c:v>
                </c:pt>
                <c:pt idx="22">
                  <c:v>24/09/2026</c:v>
                </c:pt>
                <c:pt idx="23">
                  <c:v>25/09/2026</c:v>
                </c:pt>
                <c:pt idx="24">
                  <c:v>26/09/2026</c:v>
                </c:pt>
                <c:pt idx="25">
                  <c:v>27/09/2026</c:v>
                </c:pt>
                <c:pt idx="26">
                  <c:v>28/09/2026</c:v>
                </c:pt>
                <c:pt idx="27">
                  <c:v>29/09/2026</c:v>
                </c:pt>
              </c:strCache>
            </c:strRef>
          </c:cat>
          <c:val>
            <c:numRef>
              <c:f>'Sales by Date'!$B$4:$B$32</c:f>
              <c:numCache>
                <c:formatCode>General</c:formatCode>
                <c:ptCount val="28"/>
                <c:pt idx="0">
                  <c:v>271000</c:v>
                </c:pt>
                <c:pt idx="1">
                  <c:v>164500</c:v>
                </c:pt>
                <c:pt idx="2">
                  <c:v>884000</c:v>
                </c:pt>
                <c:pt idx="3">
                  <c:v>4500</c:v>
                </c:pt>
                <c:pt idx="4">
                  <c:v>1366500</c:v>
                </c:pt>
                <c:pt idx="5">
                  <c:v>17500</c:v>
                </c:pt>
                <c:pt idx="6">
                  <c:v>1059500</c:v>
                </c:pt>
                <c:pt idx="7">
                  <c:v>202000</c:v>
                </c:pt>
                <c:pt idx="8">
                  <c:v>383000</c:v>
                </c:pt>
                <c:pt idx="9">
                  <c:v>161000</c:v>
                </c:pt>
                <c:pt idx="10">
                  <c:v>243500</c:v>
                </c:pt>
                <c:pt idx="11">
                  <c:v>133000</c:v>
                </c:pt>
                <c:pt idx="12">
                  <c:v>574000</c:v>
                </c:pt>
                <c:pt idx="13">
                  <c:v>267500</c:v>
                </c:pt>
                <c:pt idx="14">
                  <c:v>386000</c:v>
                </c:pt>
                <c:pt idx="15">
                  <c:v>220000</c:v>
                </c:pt>
                <c:pt idx="16">
                  <c:v>337000</c:v>
                </c:pt>
                <c:pt idx="17">
                  <c:v>112000</c:v>
                </c:pt>
                <c:pt idx="18">
                  <c:v>104000</c:v>
                </c:pt>
                <c:pt idx="19">
                  <c:v>246500</c:v>
                </c:pt>
                <c:pt idx="20">
                  <c:v>289500</c:v>
                </c:pt>
                <c:pt idx="21">
                  <c:v>638000</c:v>
                </c:pt>
                <c:pt idx="22">
                  <c:v>330000</c:v>
                </c:pt>
                <c:pt idx="23">
                  <c:v>352500</c:v>
                </c:pt>
                <c:pt idx="24">
                  <c:v>521000</c:v>
                </c:pt>
                <c:pt idx="25">
                  <c:v>193500</c:v>
                </c:pt>
                <c:pt idx="26">
                  <c:v>140000</c:v>
                </c:pt>
                <c:pt idx="27">
                  <c:v>132000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A-49E2-BC2F-BEA958B4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156784"/>
        <c:axId val="761153424"/>
      </c:lineChart>
      <c:catAx>
        <c:axId val="7611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1153424"/>
        <c:crosses val="autoZero"/>
        <c:auto val="1"/>
        <c:lblAlgn val="ctr"/>
        <c:lblOffset val="100"/>
        <c:noMultiLvlLbl val="0"/>
      </c:catAx>
      <c:valAx>
        <c:axId val="7611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11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95250</xdr:rowOff>
    </xdr:from>
    <xdr:to>
      <xdr:col>7</xdr:col>
      <xdr:colOff>304800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5E9D3-5A97-4C6D-B991-A9D84E716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12</xdr:row>
      <xdr:rowOff>95250</xdr:rowOff>
    </xdr:from>
    <xdr:to>
      <xdr:col>15</xdr:col>
      <xdr:colOff>161925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B0A6E-8FED-4636-A8C5-D1D4E30ED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38100</xdr:rowOff>
    </xdr:from>
    <xdr:to>
      <xdr:col>7</xdr:col>
      <xdr:colOff>304800</xdr:colOff>
      <xdr:row>42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2C030-88F1-4196-95C7-1292C2D88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166309</xdr:colOff>
      <xdr:row>28</xdr:row>
      <xdr:rowOff>0</xdr:rowOff>
    </xdr:from>
    <xdr:to>
      <xdr:col>15</xdr:col>
      <xdr:colOff>504975</xdr:colOff>
      <xdr:row>41</xdr:row>
      <xdr:rowOff>188081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2A2092-3739-48E4-BDA6-540FF34D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138112</xdr:rowOff>
    </xdr:from>
    <xdr:to>
      <xdr:col>10</xdr:col>
      <xdr:colOff>228600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BAA25-0155-BDA8-AC3F-C5EB6BF22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</xdr:row>
      <xdr:rowOff>147637</xdr:rowOff>
    </xdr:from>
    <xdr:to>
      <xdr:col>9</xdr:col>
      <xdr:colOff>552450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77492-0214-0AC1-470E-8F09FF677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thi fethi" refreshedDate="46283.872099421293" createdVersion="8" refreshedVersion="8" minRefreshableVersion="3" recordCount="100" xr:uid="{9F20736F-A226-418B-ABC7-20DD205121F6}">
  <cacheSource type="worksheet">
    <worksheetSource name="SalesData"/>
  </cacheSource>
  <cacheFields count="9">
    <cacheField name="Order ID" numFmtId="0">
      <sharedItems/>
    </cacheField>
    <cacheField name="Date" numFmtId="14">
      <sharedItems containsSemiMixedTypes="0" containsNonDate="0" containsDate="1" containsString="0" minDate="2026-09-01T00:00:00" maxDate="2026-09-30T00:00:00" count="28">
        <d v="2026-09-01T00:00:00"/>
        <d v="2026-09-22T00:00:00"/>
        <d v="2026-09-03T00:00:00"/>
        <d v="2026-09-23T00:00:00"/>
        <d v="2026-09-26T00:00:00"/>
        <d v="2026-09-05T00:00:00"/>
        <d v="2026-09-12T00:00:00"/>
        <d v="2026-09-18T00:00:00"/>
        <d v="2026-09-19T00:00:00"/>
        <d v="2026-09-06T00:00:00"/>
        <d v="2026-09-20T00:00:00"/>
        <d v="2026-09-15T00:00:00"/>
        <d v="2026-09-13T00:00:00"/>
        <d v="2026-09-07T00:00:00"/>
        <d v="2026-09-24T00:00:00"/>
        <d v="2026-09-08T00:00:00"/>
        <d v="2026-09-25T00:00:00"/>
        <d v="2026-09-28T00:00:00"/>
        <d v="2026-09-17T00:00:00"/>
        <d v="2026-09-11T00:00:00"/>
        <d v="2026-09-14T00:00:00"/>
        <d v="2026-09-02T00:00:00"/>
        <d v="2026-09-10T00:00:00"/>
        <d v="2026-09-29T00:00:00"/>
        <d v="2026-09-27T00:00:00"/>
        <d v="2026-09-09T00:00:00"/>
        <d v="2026-09-21T00:00:00"/>
        <d v="2026-09-04T00:00:00"/>
      </sharedItems>
    </cacheField>
    <cacheField name="Salesperson" numFmtId="0">
      <sharedItems count="6">
        <s v="Lina"/>
        <s v="Sara"/>
        <s v="Ahmed"/>
        <s v="Yacine"/>
        <s v="Meriem"/>
        <s v="Omar"/>
      </sharedItems>
    </cacheField>
    <cacheField name="Region" numFmtId="0">
      <sharedItems count="4">
        <s v="North"/>
        <s v="East"/>
        <s v="West"/>
        <s v="South"/>
      </sharedItems>
    </cacheField>
    <cacheField name="Product" numFmtId="0">
      <sharedItems count="6">
        <s v="Headset"/>
        <s v="Monitor"/>
        <s v="Laptop"/>
        <s v="Printer"/>
        <s v="Keyboard"/>
        <s v="Mouse"/>
      </sharedItems>
    </cacheField>
    <cacheField name="Quantity" numFmtId="1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2500" maxValue="85000"/>
    </cacheField>
    <cacheField name="Total Sales" numFmtId="0">
      <sharedItems containsSemiMixedTypes="0" containsString="0" containsNumber="1" containsInteger="1" minValue="2500" maxValue="680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x v="0"/>
    <x v="0"/>
    <x v="0"/>
    <x v="0"/>
    <n v="2"/>
    <n v="6500"/>
    <n v="13000"/>
    <s v="Completed"/>
  </r>
  <r>
    <s v="ORD002"/>
    <x v="1"/>
    <x v="0"/>
    <x v="1"/>
    <x v="1"/>
    <n v="2"/>
    <n v="22000"/>
    <n v="44000"/>
    <s v="Completed"/>
  </r>
  <r>
    <s v="ORD003"/>
    <x v="2"/>
    <x v="1"/>
    <x v="2"/>
    <x v="2"/>
    <n v="1"/>
    <n v="85000"/>
    <n v="85000"/>
    <s v="Completed"/>
  </r>
  <r>
    <s v="ORD004"/>
    <x v="3"/>
    <x v="0"/>
    <x v="3"/>
    <x v="2"/>
    <n v="4"/>
    <n v="85000"/>
    <n v="340000"/>
    <s v="Completed"/>
  </r>
  <r>
    <s v="ORD005"/>
    <x v="4"/>
    <x v="2"/>
    <x v="2"/>
    <x v="3"/>
    <n v="5"/>
    <n v="32000"/>
    <n v="160000"/>
    <s v="Completed"/>
  </r>
  <r>
    <s v="ORD006"/>
    <x v="5"/>
    <x v="1"/>
    <x v="0"/>
    <x v="4"/>
    <n v="5"/>
    <n v="4500"/>
    <n v="22500"/>
    <s v="Completed"/>
  </r>
  <r>
    <s v="ORD007"/>
    <x v="6"/>
    <x v="3"/>
    <x v="0"/>
    <x v="5"/>
    <n v="2"/>
    <n v="2500"/>
    <n v="5000"/>
    <s v="Pending"/>
  </r>
  <r>
    <s v="ORD008"/>
    <x v="7"/>
    <x v="2"/>
    <x v="3"/>
    <x v="0"/>
    <n v="8"/>
    <n v="6500"/>
    <n v="52000"/>
    <s v="Completed"/>
  </r>
  <r>
    <s v="ORD009"/>
    <x v="8"/>
    <x v="1"/>
    <x v="1"/>
    <x v="4"/>
    <n v="6"/>
    <n v="4500"/>
    <n v="27000"/>
    <s v="Completed"/>
  </r>
  <r>
    <s v="ORD010"/>
    <x v="2"/>
    <x v="1"/>
    <x v="1"/>
    <x v="1"/>
    <n v="5"/>
    <n v="22000"/>
    <n v="110000"/>
    <s v="Completed"/>
  </r>
  <r>
    <s v="ORD011"/>
    <x v="9"/>
    <x v="3"/>
    <x v="0"/>
    <x v="5"/>
    <n v="6"/>
    <n v="2500"/>
    <n v="15000"/>
    <s v="Completed"/>
  </r>
  <r>
    <s v="ORD012"/>
    <x v="10"/>
    <x v="0"/>
    <x v="2"/>
    <x v="4"/>
    <n v="2"/>
    <n v="4500"/>
    <n v="9000"/>
    <s v="Completed"/>
  </r>
  <r>
    <s v="ORD013"/>
    <x v="11"/>
    <x v="4"/>
    <x v="0"/>
    <x v="1"/>
    <n v="3"/>
    <n v="22000"/>
    <n v="66000"/>
    <s v="Cancelled"/>
  </r>
  <r>
    <s v="ORD014"/>
    <x v="1"/>
    <x v="3"/>
    <x v="1"/>
    <x v="0"/>
    <n v="4"/>
    <n v="6500"/>
    <n v="26000"/>
    <s v="Completed"/>
  </r>
  <r>
    <s v="ORD015"/>
    <x v="12"/>
    <x v="3"/>
    <x v="1"/>
    <x v="2"/>
    <n v="6"/>
    <n v="85000"/>
    <n v="510000"/>
    <s v="Completed"/>
  </r>
  <r>
    <s v="ORD016"/>
    <x v="13"/>
    <x v="0"/>
    <x v="3"/>
    <x v="3"/>
    <n v="6"/>
    <n v="32000"/>
    <n v="192000"/>
    <s v="Completed"/>
  </r>
  <r>
    <s v="ORD017"/>
    <x v="5"/>
    <x v="3"/>
    <x v="2"/>
    <x v="0"/>
    <n v="8"/>
    <n v="6500"/>
    <n v="52000"/>
    <s v="Completed"/>
  </r>
  <r>
    <s v="ORD018"/>
    <x v="14"/>
    <x v="5"/>
    <x v="3"/>
    <x v="3"/>
    <n v="5"/>
    <n v="32000"/>
    <n v="160000"/>
    <s v="Pending"/>
  </r>
  <r>
    <s v="ORD019"/>
    <x v="15"/>
    <x v="1"/>
    <x v="3"/>
    <x v="5"/>
    <n v="6"/>
    <n v="2500"/>
    <n v="15000"/>
    <s v="Completed"/>
  </r>
  <r>
    <s v="ORD020"/>
    <x v="5"/>
    <x v="0"/>
    <x v="2"/>
    <x v="2"/>
    <n v="2"/>
    <n v="85000"/>
    <n v="170000"/>
    <s v="Pending"/>
  </r>
  <r>
    <s v="ORD021"/>
    <x v="12"/>
    <x v="4"/>
    <x v="3"/>
    <x v="5"/>
    <n v="2"/>
    <n v="2500"/>
    <n v="5000"/>
    <s v="Completed"/>
  </r>
  <r>
    <s v="ORD022"/>
    <x v="1"/>
    <x v="0"/>
    <x v="1"/>
    <x v="3"/>
    <n v="1"/>
    <n v="32000"/>
    <n v="32000"/>
    <s v="Completed"/>
  </r>
  <r>
    <s v="ORD023"/>
    <x v="16"/>
    <x v="0"/>
    <x v="0"/>
    <x v="3"/>
    <n v="5"/>
    <n v="32000"/>
    <n v="160000"/>
    <s v="Completed"/>
  </r>
  <r>
    <s v="ORD024"/>
    <x v="11"/>
    <x v="2"/>
    <x v="0"/>
    <x v="5"/>
    <n v="3"/>
    <n v="2500"/>
    <n v="7500"/>
    <s v="Cancelled"/>
  </r>
  <r>
    <s v="ORD025"/>
    <x v="17"/>
    <x v="0"/>
    <x v="0"/>
    <x v="1"/>
    <n v="2"/>
    <n v="22000"/>
    <n v="44000"/>
    <s v="Pending"/>
  </r>
  <r>
    <s v="ORD026"/>
    <x v="5"/>
    <x v="3"/>
    <x v="2"/>
    <x v="3"/>
    <n v="4"/>
    <n v="32000"/>
    <n v="128000"/>
    <s v="Completed"/>
  </r>
  <r>
    <s v="ORD027"/>
    <x v="10"/>
    <x v="3"/>
    <x v="3"/>
    <x v="3"/>
    <n v="1"/>
    <n v="32000"/>
    <n v="32000"/>
    <s v="Completed"/>
  </r>
  <r>
    <s v="ORD028"/>
    <x v="15"/>
    <x v="2"/>
    <x v="2"/>
    <x v="4"/>
    <n v="5"/>
    <n v="4500"/>
    <n v="22500"/>
    <s v="Pending"/>
  </r>
  <r>
    <s v="ORD029"/>
    <x v="14"/>
    <x v="4"/>
    <x v="1"/>
    <x v="2"/>
    <n v="2"/>
    <n v="85000"/>
    <n v="170000"/>
    <s v="Cancelled"/>
  </r>
  <r>
    <s v="ORD030"/>
    <x v="5"/>
    <x v="0"/>
    <x v="3"/>
    <x v="3"/>
    <n v="3"/>
    <n v="32000"/>
    <n v="96000"/>
    <s v="Cancelled"/>
  </r>
  <r>
    <s v="ORD031"/>
    <x v="18"/>
    <x v="5"/>
    <x v="3"/>
    <x v="1"/>
    <n v="5"/>
    <n v="22000"/>
    <n v="110000"/>
    <s v="Cancelled"/>
  </r>
  <r>
    <s v="ORD032"/>
    <x v="3"/>
    <x v="3"/>
    <x v="3"/>
    <x v="3"/>
    <n v="4"/>
    <n v="32000"/>
    <n v="128000"/>
    <s v="Cancelled"/>
  </r>
  <r>
    <s v="ORD033"/>
    <x v="11"/>
    <x v="5"/>
    <x v="3"/>
    <x v="0"/>
    <n v="6"/>
    <n v="6500"/>
    <n v="39000"/>
    <s v="Completed"/>
  </r>
  <r>
    <s v="ORD034"/>
    <x v="19"/>
    <x v="2"/>
    <x v="2"/>
    <x v="1"/>
    <n v="2"/>
    <n v="22000"/>
    <n v="44000"/>
    <s v="Completed"/>
  </r>
  <r>
    <s v="ORD035"/>
    <x v="3"/>
    <x v="0"/>
    <x v="1"/>
    <x v="2"/>
    <n v="2"/>
    <n v="85000"/>
    <n v="170000"/>
    <s v="Completed"/>
  </r>
  <r>
    <s v="ORD036"/>
    <x v="2"/>
    <x v="5"/>
    <x v="2"/>
    <x v="2"/>
    <n v="6"/>
    <n v="85000"/>
    <n v="510000"/>
    <s v="Completed"/>
  </r>
  <r>
    <s v="ORD037"/>
    <x v="7"/>
    <x v="1"/>
    <x v="3"/>
    <x v="5"/>
    <n v="4"/>
    <n v="2500"/>
    <n v="10000"/>
    <s v="Completed"/>
  </r>
  <r>
    <s v="ORD038"/>
    <x v="13"/>
    <x v="2"/>
    <x v="1"/>
    <x v="5"/>
    <n v="7"/>
    <n v="2500"/>
    <n v="17500"/>
    <s v="Completed"/>
  </r>
  <r>
    <s v="ORD039"/>
    <x v="20"/>
    <x v="4"/>
    <x v="1"/>
    <x v="4"/>
    <n v="7"/>
    <n v="4500"/>
    <n v="31500"/>
    <s v="Completed"/>
  </r>
  <r>
    <s v="ORD040"/>
    <x v="21"/>
    <x v="4"/>
    <x v="0"/>
    <x v="0"/>
    <n v="2"/>
    <n v="6500"/>
    <n v="13000"/>
    <s v="Pending"/>
  </r>
  <r>
    <s v="ORD041"/>
    <x v="13"/>
    <x v="1"/>
    <x v="3"/>
    <x v="2"/>
    <n v="4"/>
    <n v="85000"/>
    <n v="340000"/>
    <s v="Completed"/>
  </r>
  <r>
    <s v="ORD042"/>
    <x v="11"/>
    <x v="1"/>
    <x v="1"/>
    <x v="1"/>
    <n v="5"/>
    <n v="22000"/>
    <n v="110000"/>
    <s v="Completed"/>
  </r>
  <r>
    <s v="ORD043"/>
    <x v="21"/>
    <x v="0"/>
    <x v="1"/>
    <x v="3"/>
    <n v="2"/>
    <n v="32000"/>
    <n v="64000"/>
    <s v="Cancelled"/>
  </r>
  <r>
    <s v="ORD044"/>
    <x v="20"/>
    <x v="4"/>
    <x v="3"/>
    <x v="1"/>
    <n v="3"/>
    <n v="22000"/>
    <n v="66000"/>
    <s v="Completed"/>
  </r>
  <r>
    <s v="ORD045"/>
    <x v="9"/>
    <x v="4"/>
    <x v="1"/>
    <x v="5"/>
    <n v="1"/>
    <n v="2500"/>
    <n v="2500"/>
    <s v="Cancelled"/>
  </r>
  <r>
    <s v="ORD046"/>
    <x v="22"/>
    <x v="4"/>
    <x v="3"/>
    <x v="4"/>
    <n v="8"/>
    <n v="4500"/>
    <n v="36000"/>
    <s v="Completed"/>
  </r>
  <r>
    <s v="ORD047"/>
    <x v="21"/>
    <x v="5"/>
    <x v="1"/>
    <x v="4"/>
    <n v="4"/>
    <n v="4500"/>
    <n v="18000"/>
    <s v="Completed"/>
  </r>
  <r>
    <s v="ORD048"/>
    <x v="8"/>
    <x v="4"/>
    <x v="2"/>
    <x v="2"/>
    <n v="1"/>
    <n v="85000"/>
    <n v="85000"/>
    <s v="Completed"/>
  </r>
  <r>
    <s v="ORD049"/>
    <x v="17"/>
    <x v="1"/>
    <x v="1"/>
    <x v="3"/>
    <n v="2"/>
    <n v="32000"/>
    <n v="64000"/>
    <s v="Completed"/>
  </r>
  <r>
    <s v="ORD050"/>
    <x v="12"/>
    <x v="2"/>
    <x v="2"/>
    <x v="0"/>
    <n v="4"/>
    <n v="6500"/>
    <n v="26000"/>
    <s v="Completed"/>
  </r>
  <r>
    <s v="ORD051"/>
    <x v="20"/>
    <x v="0"/>
    <x v="0"/>
    <x v="2"/>
    <n v="2"/>
    <n v="85000"/>
    <n v="170000"/>
    <s v="Cancelled"/>
  </r>
  <r>
    <s v="ORD052"/>
    <x v="15"/>
    <x v="3"/>
    <x v="3"/>
    <x v="1"/>
    <n v="6"/>
    <n v="22000"/>
    <n v="132000"/>
    <s v="Completed"/>
  </r>
  <r>
    <s v="ORD053"/>
    <x v="11"/>
    <x v="3"/>
    <x v="1"/>
    <x v="0"/>
    <n v="5"/>
    <n v="6500"/>
    <n v="32500"/>
    <s v="Completed"/>
  </r>
  <r>
    <s v="ORD054"/>
    <x v="2"/>
    <x v="5"/>
    <x v="2"/>
    <x v="3"/>
    <n v="2"/>
    <n v="32000"/>
    <n v="64000"/>
    <s v="Completed"/>
  </r>
  <r>
    <s v="ORD055"/>
    <x v="23"/>
    <x v="2"/>
    <x v="2"/>
    <x v="1"/>
    <n v="6"/>
    <n v="22000"/>
    <n v="132000"/>
    <s v="Completed"/>
  </r>
  <r>
    <s v="ORD056"/>
    <x v="24"/>
    <x v="5"/>
    <x v="0"/>
    <x v="1"/>
    <n v="8"/>
    <n v="22000"/>
    <n v="176000"/>
    <s v="Completed"/>
  </r>
  <r>
    <s v="ORD057"/>
    <x v="1"/>
    <x v="5"/>
    <x v="0"/>
    <x v="0"/>
    <n v="1"/>
    <n v="6500"/>
    <n v="6500"/>
    <s v="Cancelled"/>
  </r>
  <r>
    <s v="ORD058"/>
    <x v="25"/>
    <x v="2"/>
    <x v="1"/>
    <x v="2"/>
    <n v="3"/>
    <n v="85000"/>
    <n v="255000"/>
    <s v="Completed"/>
  </r>
  <r>
    <s v="ORD059"/>
    <x v="22"/>
    <x v="5"/>
    <x v="2"/>
    <x v="1"/>
    <n v="5"/>
    <n v="22000"/>
    <n v="110000"/>
    <s v="Completed"/>
  </r>
  <r>
    <s v="ORD060"/>
    <x v="18"/>
    <x v="4"/>
    <x v="0"/>
    <x v="1"/>
    <n v="5"/>
    <n v="22000"/>
    <n v="110000"/>
    <s v="Pending"/>
  </r>
  <r>
    <s v="ORD061"/>
    <x v="26"/>
    <x v="4"/>
    <x v="0"/>
    <x v="2"/>
    <n v="2"/>
    <n v="85000"/>
    <n v="170000"/>
    <s v="Completed"/>
  </r>
  <r>
    <s v="ORD062"/>
    <x v="26"/>
    <x v="3"/>
    <x v="2"/>
    <x v="4"/>
    <n v="3"/>
    <n v="4500"/>
    <n v="13500"/>
    <s v="Completed"/>
  </r>
  <r>
    <s v="ORD063"/>
    <x v="7"/>
    <x v="2"/>
    <x v="1"/>
    <x v="3"/>
    <n v="7"/>
    <n v="32000"/>
    <n v="224000"/>
    <s v="Completed"/>
  </r>
  <r>
    <s v="ORD064"/>
    <x v="7"/>
    <x v="2"/>
    <x v="0"/>
    <x v="0"/>
    <n v="3"/>
    <n v="6500"/>
    <n v="19500"/>
    <s v="Completed"/>
  </r>
  <r>
    <s v="ORD065"/>
    <x v="5"/>
    <x v="2"/>
    <x v="0"/>
    <x v="1"/>
    <n v="7"/>
    <n v="22000"/>
    <n v="154000"/>
    <s v="Completed"/>
  </r>
  <r>
    <s v="ORD066"/>
    <x v="13"/>
    <x v="0"/>
    <x v="2"/>
    <x v="2"/>
    <n v="6"/>
    <n v="85000"/>
    <n v="510000"/>
    <s v="Completed"/>
  </r>
  <r>
    <s v="ORD067"/>
    <x v="10"/>
    <x v="0"/>
    <x v="2"/>
    <x v="4"/>
    <n v="7"/>
    <n v="4500"/>
    <n v="31500"/>
    <s v="Pending"/>
  </r>
  <r>
    <s v="ORD068"/>
    <x v="4"/>
    <x v="1"/>
    <x v="3"/>
    <x v="1"/>
    <n v="3"/>
    <n v="22000"/>
    <n v="66000"/>
    <s v="Completed"/>
  </r>
  <r>
    <s v="ORD069"/>
    <x v="4"/>
    <x v="4"/>
    <x v="2"/>
    <x v="0"/>
    <n v="6"/>
    <n v="6500"/>
    <n v="39000"/>
    <s v="Completed"/>
  </r>
  <r>
    <s v="ORD070"/>
    <x v="12"/>
    <x v="2"/>
    <x v="3"/>
    <x v="0"/>
    <n v="2"/>
    <n v="6500"/>
    <n v="13000"/>
    <s v="Completed"/>
  </r>
  <r>
    <s v="ORD071"/>
    <x v="22"/>
    <x v="1"/>
    <x v="2"/>
    <x v="5"/>
    <n v="6"/>
    <n v="2500"/>
    <n v="15000"/>
    <s v="Completed"/>
  </r>
  <r>
    <s v="ORD072"/>
    <x v="19"/>
    <x v="3"/>
    <x v="1"/>
    <x v="1"/>
    <n v="7"/>
    <n v="22000"/>
    <n v="154000"/>
    <s v="Cancelled"/>
  </r>
  <r>
    <s v="ORD073"/>
    <x v="26"/>
    <x v="5"/>
    <x v="3"/>
    <x v="4"/>
    <n v="6"/>
    <n v="4500"/>
    <n v="27000"/>
    <s v="Completed"/>
  </r>
  <r>
    <s v="ORD074"/>
    <x v="0"/>
    <x v="2"/>
    <x v="0"/>
    <x v="3"/>
    <n v="6"/>
    <n v="32000"/>
    <n v="192000"/>
    <s v="Completed"/>
  </r>
  <r>
    <s v="ORD075"/>
    <x v="27"/>
    <x v="5"/>
    <x v="3"/>
    <x v="4"/>
    <n v="1"/>
    <n v="4500"/>
    <n v="4500"/>
    <s v="Completed"/>
  </r>
  <r>
    <s v="ORD076"/>
    <x v="10"/>
    <x v="5"/>
    <x v="1"/>
    <x v="4"/>
    <n v="7"/>
    <n v="4500"/>
    <n v="31500"/>
    <s v="Completed"/>
  </r>
  <r>
    <s v="ORD077"/>
    <x v="25"/>
    <x v="2"/>
    <x v="3"/>
    <x v="3"/>
    <n v="4"/>
    <n v="32000"/>
    <n v="128000"/>
    <s v="Completed"/>
  </r>
  <r>
    <s v="ORD078"/>
    <x v="6"/>
    <x v="4"/>
    <x v="1"/>
    <x v="3"/>
    <n v="4"/>
    <n v="32000"/>
    <n v="128000"/>
    <s v="Cancelled"/>
  </r>
  <r>
    <s v="ORD079"/>
    <x v="1"/>
    <x v="2"/>
    <x v="0"/>
    <x v="4"/>
    <n v="6"/>
    <n v="4500"/>
    <n v="27000"/>
    <s v="Completed"/>
  </r>
  <r>
    <s v="ORD080"/>
    <x v="19"/>
    <x v="4"/>
    <x v="0"/>
    <x v="0"/>
    <n v="7"/>
    <n v="6500"/>
    <n v="45500"/>
    <s v="Completed"/>
  </r>
  <r>
    <s v="ORD081"/>
    <x v="1"/>
    <x v="4"/>
    <x v="2"/>
    <x v="1"/>
    <n v="7"/>
    <n v="22000"/>
    <n v="154000"/>
    <s v="Completed"/>
  </r>
  <r>
    <s v="ORD082"/>
    <x v="7"/>
    <x v="2"/>
    <x v="0"/>
    <x v="4"/>
    <n v="7"/>
    <n v="4500"/>
    <n v="31500"/>
    <s v="Completed"/>
  </r>
  <r>
    <s v="ORD083"/>
    <x v="11"/>
    <x v="4"/>
    <x v="3"/>
    <x v="5"/>
    <n v="6"/>
    <n v="2500"/>
    <n v="15000"/>
    <s v="Completed"/>
  </r>
  <r>
    <s v="ORD084"/>
    <x v="4"/>
    <x v="0"/>
    <x v="2"/>
    <x v="3"/>
    <n v="8"/>
    <n v="32000"/>
    <n v="256000"/>
    <s v="Completed"/>
  </r>
  <r>
    <s v="ORD085"/>
    <x v="2"/>
    <x v="1"/>
    <x v="0"/>
    <x v="4"/>
    <n v="6"/>
    <n v="4500"/>
    <n v="27000"/>
    <s v="Completed"/>
  </r>
  <r>
    <s v="ORD086"/>
    <x v="0"/>
    <x v="2"/>
    <x v="2"/>
    <x v="1"/>
    <n v="3"/>
    <n v="22000"/>
    <n v="66000"/>
    <s v="Cancelled"/>
  </r>
  <r>
    <s v="ORD087"/>
    <x v="11"/>
    <x v="4"/>
    <x v="2"/>
    <x v="3"/>
    <n v="2"/>
    <n v="32000"/>
    <n v="64000"/>
    <s v="Completed"/>
  </r>
  <r>
    <s v="ORD088"/>
    <x v="12"/>
    <x v="1"/>
    <x v="2"/>
    <x v="5"/>
    <n v="8"/>
    <n v="2500"/>
    <n v="20000"/>
    <s v="Completed"/>
  </r>
  <r>
    <s v="ORD089"/>
    <x v="16"/>
    <x v="4"/>
    <x v="2"/>
    <x v="2"/>
    <n v="2"/>
    <n v="85000"/>
    <n v="170000"/>
    <s v="Completed"/>
  </r>
  <r>
    <s v="ORD090"/>
    <x v="21"/>
    <x v="5"/>
    <x v="2"/>
    <x v="0"/>
    <n v="8"/>
    <n v="6500"/>
    <n v="52000"/>
    <s v="Pending"/>
  </r>
  <r>
    <s v="ORD091"/>
    <x v="5"/>
    <x v="4"/>
    <x v="0"/>
    <x v="2"/>
    <n v="8"/>
    <n v="85000"/>
    <n v="680000"/>
    <s v="Cancelled"/>
  </r>
  <r>
    <s v="ORD092"/>
    <x v="24"/>
    <x v="5"/>
    <x v="3"/>
    <x v="5"/>
    <n v="7"/>
    <n v="2500"/>
    <n v="17500"/>
    <s v="Pending"/>
  </r>
  <r>
    <s v="ORD093"/>
    <x v="11"/>
    <x v="3"/>
    <x v="2"/>
    <x v="0"/>
    <n v="8"/>
    <n v="6500"/>
    <n v="52000"/>
    <s v="Pending"/>
  </r>
  <r>
    <s v="ORD094"/>
    <x v="26"/>
    <x v="1"/>
    <x v="0"/>
    <x v="4"/>
    <n v="8"/>
    <n v="4500"/>
    <n v="36000"/>
    <s v="Completed"/>
  </r>
  <r>
    <s v="ORD095"/>
    <x v="15"/>
    <x v="3"/>
    <x v="0"/>
    <x v="0"/>
    <n v="5"/>
    <n v="6500"/>
    <n v="32500"/>
    <s v="Completed"/>
  </r>
  <r>
    <s v="ORD096"/>
    <x v="5"/>
    <x v="1"/>
    <x v="2"/>
    <x v="3"/>
    <n v="2"/>
    <n v="32000"/>
    <n v="64000"/>
    <s v="Completed"/>
  </r>
  <r>
    <s v="ORD097"/>
    <x v="2"/>
    <x v="4"/>
    <x v="3"/>
    <x v="1"/>
    <n v="4"/>
    <n v="22000"/>
    <n v="88000"/>
    <s v="Completed"/>
  </r>
  <r>
    <s v="ORD098"/>
    <x v="21"/>
    <x v="1"/>
    <x v="3"/>
    <x v="5"/>
    <n v="7"/>
    <n v="2500"/>
    <n v="17500"/>
    <s v="Completed"/>
  </r>
  <r>
    <s v="ORD099"/>
    <x v="17"/>
    <x v="5"/>
    <x v="3"/>
    <x v="3"/>
    <n v="1"/>
    <n v="32000"/>
    <n v="32000"/>
    <s v="Completed"/>
  </r>
  <r>
    <s v="ORD100"/>
    <x v="16"/>
    <x v="4"/>
    <x v="3"/>
    <x v="4"/>
    <n v="5"/>
    <n v="4500"/>
    <n v="22500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F9325-DE13-423A-B5FC-07A6067AC0C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8" firstHeaderRow="1" firstDataRow="1" firstDataCol="1"/>
  <pivotFields count="9">
    <pivotField showAll="0"/>
    <pivotField numFmtId="14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0ED43-8119-4F90-B0B4-DE5621C0068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7">
        <item x="0"/>
        <item x="4"/>
        <item x="2"/>
        <item x="1"/>
        <item x="5"/>
        <item x="3"/>
        <item t="default"/>
      </items>
    </pivotField>
    <pivotField numFmtId="1" showAll="0"/>
    <pivotField showAll="0"/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7" baseField="0" baseItem="0"/>
  </dataFields>
  <chartFormats count="7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012E5-F886-47F3-8C30-60DB86C08E8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9">
    <pivotField showAll="0"/>
    <pivotField numFmtId="14" showAll="0"/>
    <pivotField axis="axisRow" showAll="0">
      <items count="7">
        <item x="2"/>
        <item x="0"/>
        <item x="4"/>
        <item x="5"/>
        <item x="1"/>
        <item x="3"/>
        <item t="default"/>
      </items>
    </pivotField>
    <pivotField showAll="0"/>
    <pivotField showAll="0"/>
    <pivotField numFmtId="1"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BC2FE-DEDF-4657-B94D-14E5BCDF48B8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32" firstHeaderRow="1" firstDataRow="1" firstDataCol="1"/>
  <pivotFields count="9">
    <pivotField showAll="0"/>
    <pivotField axis="axisRow" numFmtId="14" showAll="0">
      <items count="29">
        <item x="0"/>
        <item x="21"/>
        <item x="2"/>
        <item x="27"/>
        <item x="5"/>
        <item x="9"/>
        <item x="13"/>
        <item x="15"/>
        <item x="25"/>
        <item x="22"/>
        <item x="19"/>
        <item x="6"/>
        <item x="12"/>
        <item x="20"/>
        <item x="11"/>
        <item x="18"/>
        <item x="7"/>
        <item x="8"/>
        <item x="10"/>
        <item x="26"/>
        <item x="1"/>
        <item x="3"/>
        <item x="14"/>
        <item x="16"/>
        <item x="4"/>
        <item x="24"/>
        <item x="17"/>
        <item x="23"/>
        <item t="default"/>
      </items>
    </pivotField>
    <pivotField showAll="0"/>
    <pivotField showAll="0"/>
    <pivotField showAll="0"/>
    <pivotField numFmtId="1" showAll="0"/>
    <pivotField showAll="0"/>
    <pivotField dataField="1"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15EC1-E6F2-4BEC-A214-A95284E984DD}" name="SalesData" displayName="SalesData" ref="A1:I101" totalsRowShown="0" headerRowDxfId="5" headerRowBorderDxfId="13" tableBorderDxfId="14" totalsRowBorderDxfId="12">
  <autoFilter ref="A1:I101" xr:uid="{53415EC1-E6F2-4BEC-A214-A95284E984DD}"/>
  <tableColumns count="9">
    <tableColumn id="1" xr3:uid="{85DCFA47-E0BD-40D3-8048-6C2DAD06C780}" name="Order ID" dataDxfId="11"/>
    <tableColumn id="2" xr3:uid="{560FB9F3-4C5E-4792-A8A9-AB7604114587}" name="Date" dataDxfId="4"/>
    <tableColumn id="3" xr3:uid="{4FC7BE9F-DF82-4969-AB22-71ECE514A9F3}" name="Salesperson" dataDxfId="10"/>
    <tableColumn id="4" xr3:uid="{3A174E2B-4D79-4C6E-B178-C467656128BB}" name="Region" dataDxfId="9"/>
    <tableColumn id="5" xr3:uid="{780AC588-48D8-48A6-9E8E-645F8BD0A210}" name="Product" dataDxfId="8"/>
    <tableColumn id="6" xr3:uid="{0656450F-AE1C-442D-8B20-DFC7D9F2A586}" name="Quantity" dataDxfId="3"/>
    <tableColumn id="7" xr3:uid="{E74F3C0C-CDEF-4C81-A3C3-5EF81A4FBD78}" name="Unit Price" dataDxfId="7"/>
    <tableColumn id="8" xr3:uid="{3796172A-E5D3-4CA3-83E9-3BC0018AFA86}" name="Total Sales" dataDxfId="2">
      <calculatedColumnFormula>SalesData[[#This Row],[Quantity]]*SalesData[[#This Row],[Unit Price]]</calculatedColumnFormula>
    </tableColumn>
    <tableColumn id="9" xr3:uid="{06AF9E0E-C046-46A0-A9D0-E736178BC80C}" name="Statu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7D42-603E-448E-84D7-9AE069721893}">
  <dimension ref="A1:I101"/>
  <sheetViews>
    <sheetView workbookViewId="0">
      <selection activeCell="C16" sqref="A2:I101"/>
    </sheetView>
  </sheetViews>
  <sheetFormatPr defaultRowHeight="15"/>
  <cols>
    <col min="1" max="1" width="11.42578125" customWidth="1"/>
    <col min="2" max="2" width="10.42578125" style="15" bestFit="1" customWidth="1"/>
    <col min="3" max="3" width="13.85546875" customWidth="1"/>
    <col min="4" max="4" width="9.42578125" customWidth="1"/>
    <col min="5" max="5" width="10.42578125" customWidth="1"/>
    <col min="6" max="6" width="11" style="19" customWidth="1"/>
    <col min="7" max="7" width="12.28515625" customWidth="1"/>
    <col min="8" max="8" width="12.85546875" customWidth="1"/>
    <col min="9" max="9" width="10.42578125" bestFit="1" customWidth="1"/>
  </cols>
  <sheetData>
    <row r="1" spans="1:9">
      <c r="A1" s="2" t="s">
        <v>7</v>
      </c>
      <c r="B1" s="12" t="s">
        <v>0</v>
      </c>
      <c r="C1" s="3" t="s">
        <v>1</v>
      </c>
      <c r="D1" s="3" t="s">
        <v>2</v>
      </c>
      <c r="E1" s="3" t="s">
        <v>3</v>
      </c>
      <c r="F1" s="16" t="s">
        <v>4</v>
      </c>
      <c r="G1" s="3" t="s">
        <v>5</v>
      </c>
      <c r="H1" s="3" t="s">
        <v>8</v>
      </c>
      <c r="I1" s="4" t="s">
        <v>6</v>
      </c>
    </row>
    <row r="2" spans="1:9">
      <c r="A2" s="5" t="s">
        <v>9</v>
      </c>
      <c r="B2" s="13">
        <v>46266</v>
      </c>
      <c r="C2" s="6" t="s">
        <v>10</v>
      </c>
      <c r="D2" s="6" t="s">
        <v>11</v>
      </c>
      <c r="E2" s="6" t="s">
        <v>12</v>
      </c>
      <c r="F2" s="17">
        <v>2</v>
      </c>
      <c r="G2" s="6">
        <v>6500</v>
      </c>
      <c r="H2" s="6">
        <f>SalesData[[#This Row],[Quantity]]*SalesData[[#This Row],[Unit Price]]</f>
        <v>13000</v>
      </c>
      <c r="I2" s="7" t="s">
        <v>13</v>
      </c>
    </row>
    <row r="3" spans="1:9">
      <c r="A3" s="5" t="s">
        <v>14</v>
      </c>
      <c r="B3" s="13">
        <v>46287</v>
      </c>
      <c r="C3" s="6" t="s">
        <v>10</v>
      </c>
      <c r="D3" s="6" t="s">
        <v>15</v>
      </c>
      <c r="E3" s="6" t="s">
        <v>16</v>
      </c>
      <c r="F3" s="17">
        <v>2</v>
      </c>
      <c r="G3" s="6">
        <v>22000</v>
      </c>
      <c r="H3" s="6">
        <f>SalesData[[#This Row],[Quantity]]*SalesData[[#This Row],[Unit Price]]</f>
        <v>44000</v>
      </c>
      <c r="I3" s="7" t="s">
        <v>13</v>
      </c>
    </row>
    <row r="4" spans="1:9">
      <c r="A4" s="5" t="s">
        <v>17</v>
      </c>
      <c r="B4" s="13">
        <v>46268</v>
      </c>
      <c r="C4" s="6" t="s">
        <v>18</v>
      </c>
      <c r="D4" s="6" t="s">
        <v>19</v>
      </c>
      <c r="E4" s="6" t="s">
        <v>20</v>
      </c>
      <c r="F4" s="17">
        <v>1</v>
      </c>
      <c r="G4" s="6">
        <v>85000</v>
      </c>
      <c r="H4" s="6">
        <f>SalesData[[#This Row],[Quantity]]*SalesData[[#This Row],[Unit Price]]</f>
        <v>85000</v>
      </c>
      <c r="I4" s="7" t="s">
        <v>13</v>
      </c>
    </row>
    <row r="5" spans="1:9">
      <c r="A5" s="5" t="s">
        <v>21</v>
      </c>
      <c r="B5" s="13">
        <v>46288</v>
      </c>
      <c r="C5" s="6" t="s">
        <v>10</v>
      </c>
      <c r="D5" s="6" t="s">
        <v>22</v>
      </c>
      <c r="E5" s="6" t="s">
        <v>20</v>
      </c>
      <c r="F5" s="17">
        <v>4</v>
      </c>
      <c r="G5" s="6">
        <v>85000</v>
      </c>
      <c r="H5" s="6">
        <f>SalesData[[#This Row],[Quantity]]*SalesData[[#This Row],[Unit Price]]</f>
        <v>340000</v>
      </c>
      <c r="I5" s="7" t="s">
        <v>13</v>
      </c>
    </row>
    <row r="6" spans="1:9">
      <c r="A6" s="5" t="s">
        <v>23</v>
      </c>
      <c r="B6" s="13">
        <v>46291</v>
      </c>
      <c r="C6" s="6" t="s">
        <v>24</v>
      </c>
      <c r="D6" s="6" t="s">
        <v>19</v>
      </c>
      <c r="E6" s="6" t="s">
        <v>25</v>
      </c>
      <c r="F6" s="17">
        <v>5</v>
      </c>
      <c r="G6" s="6">
        <v>32000</v>
      </c>
      <c r="H6" s="6">
        <f>SalesData[[#This Row],[Quantity]]*SalesData[[#This Row],[Unit Price]]</f>
        <v>160000</v>
      </c>
      <c r="I6" s="7" t="s">
        <v>13</v>
      </c>
    </row>
    <row r="7" spans="1:9">
      <c r="A7" s="5" t="s">
        <v>26</v>
      </c>
      <c r="B7" s="13">
        <v>46270</v>
      </c>
      <c r="C7" s="6" t="s">
        <v>18</v>
      </c>
      <c r="D7" s="6" t="s">
        <v>11</v>
      </c>
      <c r="E7" s="6" t="s">
        <v>27</v>
      </c>
      <c r="F7" s="17">
        <v>5</v>
      </c>
      <c r="G7" s="6">
        <v>4500</v>
      </c>
      <c r="H7" s="6">
        <f>SalesData[[#This Row],[Quantity]]*SalesData[[#This Row],[Unit Price]]</f>
        <v>22500</v>
      </c>
      <c r="I7" s="7" t="s">
        <v>13</v>
      </c>
    </row>
    <row r="8" spans="1:9">
      <c r="A8" s="5" t="s">
        <v>28</v>
      </c>
      <c r="B8" s="13">
        <v>46277</v>
      </c>
      <c r="C8" s="6" t="s">
        <v>29</v>
      </c>
      <c r="D8" s="6" t="s">
        <v>11</v>
      </c>
      <c r="E8" s="6" t="s">
        <v>30</v>
      </c>
      <c r="F8" s="17">
        <v>2</v>
      </c>
      <c r="G8" s="6">
        <v>2500</v>
      </c>
      <c r="H8" s="6">
        <f>SalesData[[#This Row],[Quantity]]*SalesData[[#This Row],[Unit Price]]</f>
        <v>5000</v>
      </c>
      <c r="I8" s="7" t="s">
        <v>31</v>
      </c>
    </row>
    <row r="9" spans="1:9">
      <c r="A9" s="5" t="s">
        <v>32</v>
      </c>
      <c r="B9" s="13">
        <v>46283</v>
      </c>
      <c r="C9" s="6" t="s">
        <v>24</v>
      </c>
      <c r="D9" s="6" t="s">
        <v>22</v>
      </c>
      <c r="E9" s="6" t="s">
        <v>12</v>
      </c>
      <c r="F9" s="17">
        <v>8</v>
      </c>
      <c r="G9" s="6">
        <v>6500</v>
      </c>
      <c r="H9" s="6">
        <f>SalesData[[#This Row],[Quantity]]*SalesData[[#This Row],[Unit Price]]</f>
        <v>52000</v>
      </c>
      <c r="I9" s="7" t="s">
        <v>13</v>
      </c>
    </row>
    <row r="10" spans="1:9">
      <c r="A10" s="5" t="s">
        <v>33</v>
      </c>
      <c r="B10" s="13">
        <v>46284</v>
      </c>
      <c r="C10" s="6" t="s">
        <v>18</v>
      </c>
      <c r="D10" s="6" t="s">
        <v>15</v>
      </c>
      <c r="E10" s="6" t="s">
        <v>27</v>
      </c>
      <c r="F10" s="17">
        <v>6</v>
      </c>
      <c r="G10" s="6">
        <v>4500</v>
      </c>
      <c r="H10" s="6">
        <f>SalesData[[#This Row],[Quantity]]*SalesData[[#This Row],[Unit Price]]</f>
        <v>27000</v>
      </c>
      <c r="I10" s="7" t="s">
        <v>13</v>
      </c>
    </row>
    <row r="11" spans="1:9">
      <c r="A11" s="5" t="s">
        <v>34</v>
      </c>
      <c r="B11" s="13">
        <v>46268</v>
      </c>
      <c r="C11" s="6" t="s">
        <v>18</v>
      </c>
      <c r="D11" s="6" t="s">
        <v>15</v>
      </c>
      <c r="E11" s="6" t="s">
        <v>16</v>
      </c>
      <c r="F11" s="17">
        <v>5</v>
      </c>
      <c r="G11" s="6">
        <v>22000</v>
      </c>
      <c r="H11" s="6">
        <f>SalesData[[#This Row],[Quantity]]*SalesData[[#This Row],[Unit Price]]</f>
        <v>110000</v>
      </c>
      <c r="I11" s="7" t="s">
        <v>13</v>
      </c>
    </row>
    <row r="12" spans="1:9">
      <c r="A12" s="5" t="s">
        <v>35</v>
      </c>
      <c r="B12" s="13">
        <v>46271</v>
      </c>
      <c r="C12" s="6" t="s">
        <v>29</v>
      </c>
      <c r="D12" s="6" t="s">
        <v>11</v>
      </c>
      <c r="E12" s="6" t="s">
        <v>30</v>
      </c>
      <c r="F12" s="17">
        <v>6</v>
      </c>
      <c r="G12" s="6">
        <v>2500</v>
      </c>
      <c r="H12" s="6">
        <f>SalesData[[#This Row],[Quantity]]*SalesData[[#This Row],[Unit Price]]</f>
        <v>15000</v>
      </c>
      <c r="I12" s="7" t="s">
        <v>13</v>
      </c>
    </row>
    <row r="13" spans="1:9">
      <c r="A13" s="5" t="s">
        <v>36</v>
      </c>
      <c r="B13" s="13">
        <v>46285</v>
      </c>
      <c r="C13" s="6" t="s">
        <v>10</v>
      </c>
      <c r="D13" s="6" t="s">
        <v>19</v>
      </c>
      <c r="E13" s="6" t="s">
        <v>27</v>
      </c>
      <c r="F13" s="17">
        <v>2</v>
      </c>
      <c r="G13" s="6">
        <v>4500</v>
      </c>
      <c r="H13" s="6">
        <f>SalesData[[#This Row],[Quantity]]*SalesData[[#This Row],[Unit Price]]</f>
        <v>9000</v>
      </c>
      <c r="I13" s="7" t="s">
        <v>13</v>
      </c>
    </row>
    <row r="14" spans="1:9">
      <c r="A14" s="5" t="s">
        <v>37</v>
      </c>
      <c r="B14" s="13">
        <v>46280</v>
      </c>
      <c r="C14" s="6" t="s">
        <v>38</v>
      </c>
      <c r="D14" s="6" t="s">
        <v>11</v>
      </c>
      <c r="E14" s="6" t="s">
        <v>16</v>
      </c>
      <c r="F14" s="17">
        <v>3</v>
      </c>
      <c r="G14" s="6">
        <v>22000</v>
      </c>
      <c r="H14" s="6">
        <f>SalesData[[#This Row],[Quantity]]*SalesData[[#This Row],[Unit Price]]</f>
        <v>66000</v>
      </c>
      <c r="I14" s="7" t="s">
        <v>39</v>
      </c>
    </row>
    <row r="15" spans="1:9">
      <c r="A15" s="5" t="s">
        <v>40</v>
      </c>
      <c r="B15" s="13">
        <v>46287</v>
      </c>
      <c r="C15" s="6" t="s">
        <v>29</v>
      </c>
      <c r="D15" s="6" t="s">
        <v>15</v>
      </c>
      <c r="E15" s="6" t="s">
        <v>12</v>
      </c>
      <c r="F15" s="17">
        <v>4</v>
      </c>
      <c r="G15" s="6">
        <v>6500</v>
      </c>
      <c r="H15" s="6">
        <f>SalesData[[#This Row],[Quantity]]*SalesData[[#This Row],[Unit Price]]</f>
        <v>26000</v>
      </c>
      <c r="I15" s="7" t="s">
        <v>13</v>
      </c>
    </row>
    <row r="16" spans="1:9">
      <c r="A16" s="5" t="s">
        <v>41</v>
      </c>
      <c r="B16" s="13">
        <v>46278</v>
      </c>
      <c r="C16" s="6" t="s">
        <v>29</v>
      </c>
      <c r="D16" s="6" t="s">
        <v>15</v>
      </c>
      <c r="E16" s="6" t="s">
        <v>20</v>
      </c>
      <c r="F16" s="17">
        <v>6</v>
      </c>
      <c r="G16" s="6">
        <v>85000</v>
      </c>
      <c r="H16" s="6">
        <f>SalesData[[#This Row],[Quantity]]*SalesData[[#This Row],[Unit Price]]</f>
        <v>510000</v>
      </c>
      <c r="I16" s="7" t="s">
        <v>13</v>
      </c>
    </row>
    <row r="17" spans="1:9">
      <c r="A17" s="5" t="s">
        <v>42</v>
      </c>
      <c r="B17" s="13">
        <v>46272</v>
      </c>
      <c r="C17" s="6" t="s">
        <v>10</v>
      </c>
      <c r="D17" s="6" t="s">
        <v>22</v>
      </c>
      <c r="E17" s="6" t="s">
        <v>25</v>
      </c>
      <c r="F17" s="17">
        <v>6</v>
      </c>
      <c r="G17" s="6">
        <v>32000</v>
      </c>
      <c r="H17" s="6">
        <f>SalesData[[#This Row],[Quantity]]*SalesData[[#This Row],[Unit Price]]</f>
        <v>192000</v>
      </c>
      <c r="I17" s="7" t="s">
        <v>13</v>
      </c>
    </row>
    <row r="18" spans="1:9">
      <c r="A18" s="5" t="s">
        <v>43</v>
      </c>
      <c r="B18" s="13">
        <v>46270</v>
      </c>
      <c r="C18" s="6" t="s">
        <v>29</v>
      </c>
      <c r="D18" s="6" t="s">
        <v>19</v>
      </c>
      <c r="E18" s="6" t="s">
        <v>12</v>
      </c>
      <c r="F18" s="17">
        <v>8</v>
      </c>
      <c r="G18" s="6">
        <v>6500</v>
      </c>
      <c r="H18" s="6">
        <f>SalesData[[#This Row],[Quantity]]*SalesData[[#This Row],[Unit Price]]</f>
        <v>52000</v>
      </c>
      <c r="I18" s="7" t="s">
        <v>13</v>
      </c>
    </row>
    <row r="19" spans="1:9">
      <c r="A19" s="5" t="s">
        <v>44</v>
      </c>
      <c r="B19" s="13">
        <v>46289</v>
      </c>
      <c r="C19" s="6" t="s">
        <v>45</v>
      </c>
      <c r="D19" s="6" t="s">
        <v>22</v>
      </c>
      <c r="E19" s="6" t="s">
        <v>25</v>
      </c>
      <c r="F19" s="17">
        <v>5</v>
      </c>
      <c r="G19" s="6">
        <v>32000</v>
      </c>
      <c r="H19" s="6">
        <f>SalesData[[#This Row],[Quantity]]*SalesData[[#This Row],[Unit Price]]</f>
        <v>160000</v>
      </c>
      <c r="I19" s="7" t="s">
        <v>31</v>
      </c>
    </row>
    <row r="20" spans="1:9">
      <c r="A20" s="5" t="s">
        <v>46</v>
      </c>
      <c r="B20" s="13">
        <v>46273</v>
      </c>
      <c r="C20" s="6" t="s">
        <v>18</v>
      </c>
      <c r="D20" s="6" t="s">
        <v>22</v>
      </c>
      <c r="E20" s="6" t="s">
        <v>30</v>
      </c>
      <c r="F20" s="17">
        <v>6</v>
      </c>
      <c r="G20" s="6">
        <v>2500</v>
      </c>
      <c r="H20" s="6">
        <f>SalesData[[#This Row],[Quantity]]*SalesData[[#This Row],[Unit Price]]</f>
        <v>15000</v>
      </c>
      <c r="I20" s="7" t="s">
        <v>13</v>
      </c>
    </row>
    <row r="21" spans="1:9">
      <c r="A21" s="5" t="s">
        <v>47</v>
      </c>
      <c r="B21" s="13">
        <v>46270</v>
      </c>
      <c r="C21" s="6" t="s">
        <v>10</v>
      </c>
      <c r="D21" s="6" t="s">
        <v>19</v>
      </c>
      <c r="E21" s="6" t="s">
        <v>20</v>
      </c>
      <c r="F21" s="17">
        <v>2</v>
      </c>
      <c r="G21" s="6">
        <v>85000</v>
      </c>
      <c r="H21" s="6">
        <f>SalesData[[#This Row],[Quantity]]*SalesData[[#This Row],[Unit Price]]</f>
        <v>170000</v>
      </c>
      <c r="I21" s="7" t="s">
        <v>31</v>
      </c>
    </row>
    <row r="22" spans="1:9">
      <c r="A22" s="5" t="s">
        <v>48</v>
      </c>
      <c r="B22" s="13">
        <v>46278</v>
      </c>
      <c r="C22" s="6" t="s">
        <v>38</v>
      </c>
      <c r="D22" s="6" t="s">
        <v>22</v>
      </c>
      <c r="E22" s="6" t="s">
        <v>30</v>
      </c>
      <c r="F22" s="17">
        <v>2</v>
      </c>
      <c r="G22" s="6">
        <v>2500</v>
      </c>
      <c r="H22" s="6">
        <f>SalesData[[#This Row],[Quantity]]*SalesData[[#This Row],[Unit Price]]</f>
        <v>5000</v>
      </c>
      <c r="I22" s="7" t="s">
        <v>13</v>
      </c>
    </row>
    <row r="23" spans="1:9">
      <c r="A23" s="5" t="s">
        <v>49</v>
      </c>
      <c r="B23" s="13">
        <v>46287</v>
      </c>
      <c r="C23" s="6" t="s">
        <v>10</v>
      </c>
      <c r="D23" s="6" t="s">
        <v>15</v>
      </c>
      <c r="E23" s="6" t="s">
        <v>25</v>
      </c>
      <c r="F23" s="17">
        <v>1</v>
      </c>
      <c r="G23" s="6">
        <v>32000</v>
      </c>
      <c r="H23" s="6">
        <f>SalesData[[#This Row],[Quantity]]*SalesData[[#This Row],[Unit Price]]</f>
        <v>32000</v>
      </c>
      <c r="I23" s="7" t="s">
        <v>13</v>
      </c>
    </row>
    <row r="24" spans="1:9">
      <c r="A24" s="5" t="s">
        <v>50</v>
      </c>
      <c r="B24" s="13">
        <v>46290</v>
      </c>
      <c r="C24" s="6" t="s">
        <v>10</v>
      </c>
      <c r="D24" s="6" t="s">
        <v>11</v>
      </c>
      <c r="E24" s="6" t="s">
        <v>25</v>
      </c>
      <c r="F24" s="17">
        <v>5</v>
      </c>
      <c r="G24" s="6">
        <v>32000</v>
      </c>
      <c r="H24" s="6">
        <f>SalesData[[#This Row],[Quantity]]*SalesData[[#This Row],[Unit Price]]</f>
        <v>160000</v>
      </c>
      <c r="I24" s="7" t="s">
        <v>13</v>
      </c>
    </row>
    <row r="25" spans="1:9">
      <c r="A25" s="5" t="s">
        <v>51</v>
      </c>
      <c r="B25" s="13">
        <v>46280</v>
      </c>
      <c r="C25" s="6" t="s">
        <v>24</v>
      </c>
      <c r="D25" s="6" t="s">
        <v>11</v>
      </c>
      <c r="E25" s="6" t="s">
        <v>30</v>
      </c>
      <c r="F25" s="17">
        <v>3</v>
      </c>
      <c r="G25" s="6">
        <v>2500</v>
      </c>
      <c r="H25" s="6">
        <f>SalesData[[#This Row],[Quantity]]*SalesData[[#This Row],[Unit Price]]</f>
        <v>7500</v>
      </c>
      <c r="I25" s="7" t="s">
        <v>39</v>
      </c>
    </row>
    <row r="26" spans="1:9">
      <c r="A26" s="5" t="s">
        <v>52</v>
      </c>
      <c r="B26" s="13">
        <v>46293</v>
      </c>
      <c r="C26" s="6" t="s">
        <v>10</v>
      </c>
      <c r="D26" s="6" t="s">
        <v>11</v>
      </c>
      <c r="E26" s="6" t="s">
        <v>16</v>
      </c>
      <c r="F26" s="17">
        <v>2</v>
      </c>
      <c r="G26" s="6">
        <v>22000</v>
      </c>
      <c r="H26" s="6">
        <f>SalesData[[#This Row],[Quantity]]*SalesData[[#This Row],[Unit Price]]</f>
        <v>44000</v>
      </c>
      <c r="I26" s="7" t="s">
        <v>31</v>
      </c>
    </row>
    <row r="27" spans="1:9">
      <c r="A27" s="5" t="s">
        <v>53</v>
      </c>
      <c r="B27" s="13">
        <v>46270</v>
      </c>
      <c r="C27" s="6" t="s">
        <v>29</v>
      </c>
      <c r="D27" s="6" t="s">
        <v>19</v>
      </c>
      <c r="E27" s="6" t="s">
        <v>25</v>
      </c>
      <c r="F27" s="17">
        <v>4</v>
      </c>
      <c r="G27" s="6">
        <v>32000</v>
      </c>
      <c r="H27" s="6">
        <f>SalesData[[#This Row],[Quantity]]*SalesData[[#This Row],[Unit Price]]</f>
        <v>128000</v>
      </c>
      <c r="I27" s="7" t="s">
        <v>13</v>
      </c>
    </row>
    <row r="28" spans="1:9">
      <c r="A28" s="5" t="s">
        <v>54</v>
      </c>
      <c r="B28" s="13">
        <v>46285</v>
      </c>
      <c r="C28" s="6" t="s">
        <v>29</v>
      </c>
      <c r="D28" s="6" t="s">
        <v>22</v>
      </c>
      <c r="E28" s="6" t="s">
        <v>25</v>
      </c>
      <c r="F28" s="17">
        <v>1</v>
      </c>
      <c r="G28" s="6">
        <v>32000</v>
      </c>
      <c r="H28" s="6">
        <f>SalesData[[#This Row],[Quantity]]*SalesData[[#This Row],[Unit Price]]</f>
        <v>32000</v>
      </c>
      <c r="I28" s="7" t="s">
        <v>13</v>
      </c>
    </row>
    <row r="29" spans="1:9">
      <c r="A29" s="5" t="s">
        <v>55</v>
      </c>
      <c r="B29" s="13">
        <v>46273</v>
      </c>
      <c r="C29" s="6" t="s">
        <v>24</v>
      </c>
      <c r="D29" s="6" t="s">
        <v>19</v>
      </c>
      <c r="E29" s="6" t="s">
        <v>27</v>
      </c>
      <c r="F29" s="17">
        <v>5</v>
      </c>
      <c r="G29" s="6">
        <v>4500</v>
      </c>
      <c r="H29" s="6">
        <f>SalesData[[#This Row],[Quantity]]*SalesData[[#This Row],[Unit Price]]</f>
        <v>22500</v>
      </c>
      <c r="I29" s="7" t="s">
        <v>31</v>
      </c>
    </row>
    <row r="30" spans="1:9">
      <c r="A30" s="5" t="s">
        <v>56</v>
      </c>
      <c r="B30" s="13">
        <v>46289</v>
      </c>
      <c r="C30" s="6" t="s">
        <v>38</v>
      </c>
      <c r="D30" s="6" t="s">
        <v>15</v>
      </c>
      <c r="E30" s="6" t="s">
        <v>20</v>
      </c>
      <c r="F30" s="17">
        <v>2</v>
      </c>
      <c r="G30" s="6">
        <v>85000</v>
      </c>
      <c r="H30" s="6">
        <f>SalesData[[#This Row],[Quantity]]*SalesData[[#This Row],[Unit Price]]</f>
        <v>170000</v>
      </c>
      <c r="I30" s="7" t="s">
        <v>39</v>
      </c>
    </row>
    <row r="31" spans="1:9">
      <c r="A31" s="5" t="s">
        <v>57</v>
      </c>
      <c r="B31" s="13">
        <v>46270</v>
      </c>
      <c r="C31" s="6" t="s">
        <v>10</v>
      </c>
      <c r="D31" s="6" t="s">
        <v>22</v>
      </c>
      <c r="E31" s="6" t="s">
        <v>25</v>
      </c>
      <c r="F31" s="17">
        <v>3</v>
      </c>
      <c r="G31" s="6">
        <v>32000</v>
      </c>
      <c r="H31" s="6">
        <f>SalesData[[#This Row],[Quantity]]*SalesData[[#This Row],[Unit Price]]</f>
        <v>96000</v>
      </c>
      <c r="I31" s="7" t="s">
        <v>39</v>
      </c>
    </row>
    <row r="32" spans="1:9">
      <c r="A32" s="5" t="s">
        <v>58</v>
      </c>
      <c r="B32" s="13">
        <v>46282</v>
      </c>
      <c r="C32" s="6" t="s">
        <v>45</v>
      </c>
      <c r="D32" s="6" t="s">
        <v>22</v>
      </c>
      <c r="E32" s="6" t="s">
        <v>16</v>
      </c>
      <c r="F32" s="17">
        <v>5</v>
      </c>
      <c r="G32" s="6">
        <v>22000</v>
      </c>
      <c r="H32" s="6">
        <f>SalesData[[#This Row],[Quantity]]*SalesData[[#This Row],[Unit Price]]</f>
        <v>110000</v>
      </c>
      <c r="I32" s="7" t="s">
        <v>39</v>
      </c>
    </row>
    <row r="33" spans="1:9">
      <c r="A33" s="5" t="s">
        <v>59</v>
      </c>
      <c r="B33" s="13">
        <v>46288</v>
      </c>
      <c r="C33" s="6" t="s">
        <v>29</v>
      </c>
      <c r="D33" s="6" t="s">
        <v>22</v>
      </c>
      <c r="E33" s="6" t="s">
        <v>25</v>
      </c>
      <c r="F33" s="17">
        <v>4</v>
      </c>
      <c r="G33" s="6">
        <v>32000</v>
      </c>
      <c r="H33" s="6">
        <f>SalesData[[#This Row],[Quantity]]*SalesData[[#This Row],[Unit Price]]</f>
        <v>128000</v>
      </c>
      <c r="I33" s="7" t="s">
        <v>39</v>
      </c>
    </row>
    <row r="34" spans="1:9">
      <c r="A34" s="5" t="s">
        <v>60</v>
      </c>
      <c r="B34" s="13">
        <v>46280</v>
      </c>
      <c r="C34" s="6" t="s">
        <v>45</v>
      </c>
      <c r="D34" s="6" t="s">
        <v>22</v>
      </c>
      <c r="E34" s="6" t="s">
        <v>12</v>
      </c>
      <c r="F34" s="17">
        <v>6</v>
      </c>
      <c r="G34" s="6">
        <v>6500</v>
      </c>
      <c r="H34" s="6">
        <f>SalesData[[#This Row],[Quantity]]*SalesData[[#This Row],[Unit Price]]</f>
        <v>39000</v>
      </c>
      <c r="I34" s="7" t="s">
        <v>13</v>
      </c>
    </row>
    <row r="35" spans="1:9">
      <c r="A35" s="5" t="s">
        <v>61</v>
      </c>
      <c r="B35" s="13">
        <v>46276</v>
      </c>
      <c r="C35" s="6" t="s">
        <v>24</v>
      </c>
      <c r="D35" s="6" t="s">
        <v>19</v>
      </c>
      <c r="E35" s="6" t="s">
        <v>16</v>
      </c>
      <c r="F35" s="17">
        <v>2</v>
      </c>
      <c r="G35" s="6">
        <v>22000</v>
      </c>
      <c r="H35" s="6">
        <f>SalesData[[#This Row],[Quantity]]*SalesData[[#This Row],[Unit Price]]</f>
        <v>44000</v>
      </c>
      <c r="I35" s="7" t="s">
        <v>13</v>
      </c>
    </row>
    <row r="36" spans="1:9">
      <c r="A36" s="5" t="s">
        <v>62</v>
      </c>
      <c r="B36" s="13">
        <v>46288</v>
      </c>
      <c r="C36" s="6" t="s">
        <v>10</v>
      </c>
      <c r="D36" s="6" t="s">
        <v>15</v>
      </c>
      <c r="E36" s="6" t="s">
        <v>20</v>
      </c>
      <c r="F36" s="17">
        <v>2</v>
      </c>
      <c r="G36" s="6">
        <v>85000</v>
      </c>
      <c r="H36" s="6">
        <f>SalesData[[#This Row],[Quantity]]*SalesData[[#This Row],[Unit Price]]</f>
        <v>170000</v>
      </c>
      <c r="I36" s="7" t="s">
        <v>13</v>
      </c>
    </row>
    <row r="37" spans="1:9">
      <c r="A37" s="5" t="s">
        <v>63</v>
      </c>
      <c r="B37" s="13">
        <v>46268</v>
      </c>
      <c r="C37" s="6" t="s">
        <v>45</v>
      </c>
      <c r="D37" s="6" t="s">
        <v>19</v>
      </c>
      <c r="E37" s="6" t="s">
        <v>20</v>
      </c>
      <c r="F37" s="17">
        <v>6</v>
      </c>
      <c r="G37" s="6">
        <v>85000</v>
      </c>
      <c r="H37" s="6">
        <f>SalesData[[#This Row],[Quantity]]*SalesData[[#This Row],[Unit Price]]</f>
        <v>510000</v>
      </c>
      <c r="I37" s="7" t="s">
        <v>13</v>
      </c>
    </row>
    <row r="38" spans="1:9">
      <c r="A38" s="5" t="s">
        <v>64</v>
      </c>
      <c r="B38" s="13">
        <v>46283</v>
      </c>
      <c r="C38" s="6" t="s">
        <v>18</v>
      </c>
      <c r="D38" s="6" t="s">
        <v>22</v>
      </c>
      <c r="E38" s="6" t="s">
        <v>30</v>
      </c>
      <c r="F38" s="17">
        <v>4</v>
      </c>
      <c r="G38" s="6">
        <v>2500</v>
      </c>
      <c r="H38" s="6">
        <f>SalesData[[#This Row],[Quantity]]*SalesData[[#This Row],[Unit Price]]</f>
        <v>10000</v>
      </c>
      <c r="I38" s="7" t="s">
        <v>13</v>
      </c>
    </row>
    <row r="39" spans="1:9">
      <c r="A39" s="5" t="s">
        <v>65</v>
      </c>
      <c r="B39" s="13">
        <v>46272</v>
      </c>
      <c r="C39" s="6" t="s">
        <v>24</v>
      </c>
      <c r="D39" s="6" t="s">
        <v>15</v>
      </c>
      <c r="E39" s="6" t="s">
        <v>30</v>
      </c>
      <c r="F39" s="17">
        <v>7</v>
      </c>
      <c r="G39" s="6">
        <v>2500</v>
      </c>
      <c r="H39" s="6">
        <f>SalesData[[#This Row],[Quantity]]*SalesData[[#This Row],[Unit Price]]</f>
        <v>17500</v>
      </c>
      <c r="I39" s="7" t="s">
        <v>13</v>
      </c>
    </row>
    <row r="40" spans="1:9">
      <c r="A40" s="5" t="s">
        <v>66</v>
      </c>
      <c r="B40" s="13">
        <v>46279</v>
      </c>
      <c r="C40" s="6" t="s">
        <v>38</v>
      </c>
      <c r="D40" s="6" t="s">
        <v>15</v>
      </c>
      <c r="E40" s="6" t="s">
        <v>27</v>
      </c>
      <c r="F40" s="17">
        <v>7</v>
      </c>
      <c r="G40" s="6">
        <v>4500</v>
      </c>
      <c r="H40" s="6">
        <f>SalesData[[#This Row],[Quantity]]*SalesData[[#This Row],[Unit Price]]</f>
        <v>31500</v>
      </c>
      <c r="I40" s="7" t="s">
        <v>13</v>
      </c>
    </row>
    <row r="41" spans="1:9">
      <c r="A41" s="5" t="s">
        <v>67</v>
      </c>
      <c r="B41" s="13">
        <v>46267</v>
      </c>
      <c r="C41" s="6" t="s">
        <v>38</v>
      </c>
      <c r="D41" s="6" t="s">
        <v>11</v>
      </c>
      <c r="E41" s="6" t="s">
        <v>12</v>
      </c>
      <c r="F41" s="17">
        <v>2</v>
      </c>
      <c r="G41" s="6">
        <v>6500</v>
      </c>
      <c r="H41" s="6">
        <f>SalesData[[#This Row],[Quantity]]*SalesData[[#This Row],[Unit Price]]</f>
        <v>13000</v>
      </c>
      <c r="I41" s="7" t="s">
        <v>31</v>
      </c>
    </row>
    <row r="42" spans="1:9">
      <c r="A42" s="5" t="s">
        <v>68</v>
      </c>
      <c r="B42" s="13">
        <v>46272</v>
      </c>
      <c r="C42" s="6" t="s">
        <v>18</v>
      </c>
      <c r="D42" s="6" t="s">
        <v>22</v>
      </c>
      <c r="E42" s="6" t="s">
        <v>20</v>
      </c>
      <c r="F42" s="17">
        <v>4</v>
      </c>
      <c r="G42" s="6">
        <v>85000</v>
      </c>
      <c r="H42" s="6">
        <f>SalesData[[#This Row],[Quantity]]*SalesData[[#This Row],[Unit Price]]</f>
        <v>340000</v>
      </c>
      <c r="I42" s="7" t="s">
        <v>13</v>
      </c>
    </row>
    <row r="43" spans="1:9">
      <c r="A43" s="5" t="s">
        <v>69</v>
      </c>
      <c r="B43" s="13">
        <v>46280</v>
      </c>
      <c r="C43" s="6" t="s">
        <v>18</v>
      </c>
      <c r="D43" s="6" t="s">
        <v>15</v>
      </c>
      <c r="E43" s="6" t="s">
        <v>16</v>
      </c>
      <c r="F43" s="17">
        <v>5</v>
      </c>
      <c r="G43" s="6">
        <v>22000</v>
      </c>
      <c r="H43" s="6">
        <f>SalesData[[#This Row],[Quantity]]*SalesData[[#This Row],[Unit Price]]</f>
        <v>110000</v>
      </c>
      <c r="I43" s="7" t="s">
        <v>13</v>
      </c>
    </row>
    <row r="44" spans="1:9">
      <c r="A44" s="5" t="s">
        <v>70</v>
      </c>
      <c r="B44" s="13">
        <v>46267</v>
      </c>
      <c r="C44" s="6" t="s">
        <v>10</v>
      </c>
      <c r="D44" s="6" t="s">
        <v>15</v>
      </c>
      <c r="E44" s="6" t="s">
        <v>25</v>
      </c>
      <c r="F44" s="17">
        <v>2</v>
      </c>
      <c r="G44" s="6">
        <v>32000</v>
      </c>
      <c r="H44" s="6">
        <f>SalesData[[#This Row],[Quantity]]*SalesData[[#This Row],[Unit Price]]</f>
        <v>64000</v>
      </c>
      <c r="I44" s="7" t="s">
        <v>39</v>
      </c>
    </row>
    <row r="45" spans="1:9">
      <c r="A45" s="5" t="s">
        <v>71</v>
      </c>
      <c r="B45" s="13">
        <v>46279</v>
      </c>
      <c r="C45" s="6" t="s">
        <v>38</v>
      </c>
      <c r="D45" s="6" t="s">
        <v>22</v>
      </c>
      <c r="E45" s="6" t="s">
        <v>16</v>
      </c>
      <c r="F45" s="17">
        <v>3</v>
      </c>
      <c r="G45" s="6">
        <v>22000</v>
      </c>
      <c r="H45" s="6">
        <f>SalesData[[#This Row],[Quantity]]*SalesData[[#This Row],[Unit Price]]</f>
        <v>66000</v>
      </c>
      <c r="I45" s="7" t="s">
        <v>13</v>
      </c>
    </row>
    <row r="46" spans="1:9">
      <c r="A46" s="5" t="s">
        <v>72</v>
      </c>
      <c r="B46" s="13">
        <v>46271</v>
      </c>
      <c r="C46" s="6" t="s">
        <v>38</v>
      </c>
      <c r="D46" s="6" t="s">
        <v>15</v>
      </c>
      <c r="E46" s="6" t="s">
        <v>30</v>
      </c>
      <c r="F46" s="17">
        <v>1</v>
      </c>
      <c r="G46" s="6">
        <v>2500</v>
      </c>
      <c r="H46" s="6">
        <f>SalesData[[#This Row],[Quantity]]*SalesData[[#This Row],[Unit Price]]</f>
        <v>2500</v>
      </c>
      <c r="I46" s="7" t="s">
        <v>39</v>
      </c>
    </row>
    <row r="47" spans="1:9">
      <c r="A47" s="5" t="s">
        <v>73</v>
      </c>
      <c r="B47" s="13">
        <v>46275</v>
      </c>
      <c r="C47" s="6" t="s">
        <v>38</v>
      </c>
      <c r="D47" s="6" t="s">
        <v>22</v>
      </c>
      <c r="E47" s="6" t="s">
        <v>27</v>
      </c>
      <c r="F47" s="17">
        <v>8</v>
      </c>
      <c r="G47" s="6">
        <v>4500</v>
      </c>
      <c r="H47" s="6">
        <f>SalesData[[#This Row],[Quantity]]*SalesData[[#This Row],[Unit Price]]</f>
        <v>36000</v>
      </c>
      <c r="I47" s="7" t="s">
        <v>13</v>
      </c>
    </row>
    <row r="48" spans="1:9">
      <c r="A48" s="5" t="s">
        <v>74</v>
      </c>
      <c r="B48" s="13">
        <v>46267</v>
      </c>
      <c r="C48" s="6" t="s">
        <v>45</v>
      </c>
      <c r="D48" s="6" t="s">
        <v>15</v>
      </c>
      <c r="E48" s="6" t="s">
        <v>27</v>
      </c>
      <c r="F48" s="17">
        <v>4</v>
      </c>
      <c r="G48" s="6">
        <v>4500</v>
      </c>
      <c r="H48" s="6">
        <f>SalesData[[#This Row],[Quantity]]*SalesData[[#This Row],[Unit Price]]</f>
        <v>18000</v>
      </c>
      <c r="I48" s="7" t="s">
        <v>13</v>
      </c>
    </row>
    <row r="49" spans="1:9">
      <c r="A49" s="5" t="s">
        <v>75</v>
      </c>
      <c r="B49" s="13">
        <v>46284</v>
      </c>
      <c r="C49" s="6" t="s">
        <v>38</v>
      </c>
      <c r="D49" s="6" t="s">
        <v>19</v>
      </c>
      <c r="E49" s="6" t="s">
        <v>20</v>
      </c>
      <c r="F49" s="17">
        <v>1</v>
      </c>
      <c r="G49" s="6">
        <v>85000</v>
      </c>
      <c r="H49" s="6">
        <f>SalesData[[#This Row],[Quantity]]*SalesData[[#This Row],[Unit Price]]</f>
        <v>85000</v>
      </c>
      <c r="I49" s="7" t="s">
        <v>13</v>
      </c>
    </row>
    <row r="50" spans="1:9">
      <c r="A50" s="5" t="s">
        <v>76</v>
      </c>
      <c r="B50" s="13">
        <v>46293</v>
      </c>
      <c r="C50" s="6" t="s">
        <v>18</v>
      </c>
      <c r="D50" s="6" t="s">
        <v>15</v>
      </c>
      <c r="E50" s="6" t="s">
        <v>25</v>
      </c>
      <c r="F50" s="17">
        <v>2</v>
      </c>
      <c r="G50" s="6">
        <v>32000</v>
      </c>
      <c r="H50" s="6">
        <f>SalesData[[#This Row],[Quantity]]*SalesData[[#This Row],[Unit Price]]</f>
        <v>64000</v>
      </c>
      <c r="I50" s="7" t="s">
        <v>13</v>
      </c>
    </row>
    <row r="51" spans="1:9">
      <c r="A51" s="5" t="s">
        <v>77</v>
      </c>
      <c r="B51" s="13">
        <v>46278</v>
      </c>
      <c r="C51" s="6" t="s">
        <v>24</v>
      </c>
      <c r="D51" s="6" t="s">
        <v>19</v>
      </c>
      <c r="E51" s="6" t="s">
        <v>12</v>
      </c>
      <c r="F51" s="17">
        <v>4</v>
      </c>
      <c r="G51" s="6">
        <v>6500</v>
      </c>
      <c r="H51" s="6">
        <f>SalesData[[#This Row],[Quantity]]*SalesData[[#This Row],[Unit Price]]</f>
        <v>26000</v>
      </c>
      <c r="I51" s="7" t="s">
        <v>13</v>
      </c>
    </row>
    <row r="52" spans="1:9">
      <c r="A52" s="5" t="s">
        <v>78</v>
      </c>
      <c r="B52" s="13">
        <v>46279</v>
      </c>
      <c r="C52" s="6" t="s">
        <v>10</v>
      </c>
      <c r="D52" s="6" t="s">
        <v>11</v>
      </c>
      <c r="E52" s="6" t="s">
        <v>20</v>
      </c>
      <c r="F52" s="17">
        <v>2</v>
      </c>
      <c r="G52" s="6">
        <v>85000</v>
      </c>
      <c r="H52" s="6">
        <f>SalesData[[#This Row],[Quantity]]*SalesData[[#This Row],[Unit Price]]</f>
        <v>170000</v>
      </c>
      <c r="I52" s="7" t="s">
        <v>39</v>
      </c>
    </row>
    <row r="53" spans="1:9">
      <c r="A53" s="5" t="s">
        <v>79</v>
      </c>
      <c r="B53" s="13">
        <v>46273</v>
      </c>
      <c r="C53" s="6" t="s">
        <v>29</v>
      </c>
      <c r="D53" s="6" t="s">
        <v>22</v>
      </c>
      <c r="E53" s="6" t="s">
        <v>16</v>
      </c>
      <c r="F53" s="17">
        <v>6</v>
      </c>
      <c r="G53" s="6">
        <v>22000</v>
      </c>
      <c r="H53" s="6">
        <f>SalesData[[#This Row],[Quantity]]*SalesData[[#This Row],[Unit Price]]</f>
        <v>132000</v>
      </c>
      <c r="I53" s="7" t="s">
        <v>13</v>
      </c>
    </row>
    <row r="54" spans="1:9">
      <c r="A54" s="5" t="s">
        <v>80</v>
      </c>
      <c r="B54" s="13">
        <v>46280</v>
      </c>
      <c r="C54" s="6" t="s">
        <v>29</v>
      </c>
      <c r="D54" s="6" t="s">
        <v>15</v>
      </c>
      <c r="E54" s="6" t="s">
        <v>12</v>
      </c>
      <c r="F54" s="17">
        <v>5</v>
      </c>
      <c r="G54" s="6">
        <v>6500</v>
      </c>
      <c r="H54" s="6">
        <f>SalesData[[#This Row],[Quantity]]*SalesData[[#This Row],[Unit Price]]</f>
        <v>32500</v>
      </c>
      <c r="I54" s="7" t="s">
        <v>13</v>
      </c>
    </row>
    <row r="55" spans="1:9">
      <c r="A55" s="5" t="s">
        <v>81</v>
      </c>
      <c r="B55" s="13">
        <v>46268</v>
      </c>
      <c r="C55" s="6" t="s">
        <v>45</v>
      </c>
      <c r="D55" s="6" t="s">
        <v>19</v>
      </c>
      <c r="E55" s="6" t="s">
        <v>25</v>
      </c>
      <c r="F55" s="17">
        <v>2</v>
      </c>
      <c r="G55" s="6">
        <v>32000</v>
      </c>
      <c r="H55" s="6">
        <f>SalesData[[#This Row],[Quantity]]*SalesData[[#This Row],[Unit Price]]</f>
        <v>64000</v>
      </c>
      <c r="I55" s="7" t="s">
        <v>13</v>
      </c>
    </row>
    <row r="56" spans="1:9">
      <c r="A56" s="5" t="s">
        <v>82</v>
      </c>
      <c r="B56" s="13">
        <v>46294</v>
      </c>
      <c r="C56" s="6" t="s">
        <v>24</v>
      </c>
      <c r="D56" s="6" t="s">
        <v>19</v>
      </c>
      <c r="E56" s="6" t="s">
        <v>16</v>
      </c>
      <c r="F56" s="17">
        <v>6</v>
      </c>
      <c r="G56" s="6">
        <v>22000</v>
      </c>
      <c r="H56" s="6">
        <f>SalesData[[#This Row],[Quantity]]*SalesData[[#This Row],[Unit Price]]</f>
        <v>132000</v>
      </c>
      <c r="I56" s="7" t="s">
        <v>13</v>
      </c>
    </row>
    <row r="57" spans="1:9">
      <c r="A57" s="5" t="s">
        <v>83</v>
      </c>
      <c r="B57" s="13">
        <v>46292</v>
      </c>
      <c r="C57" s="6" t="s">
        <v>45</v>
      </c>
      <c r="D57" s="6" t="s">
        <v>11</v>
      </c>
      <c r="E57" s="6" t="s">
        <v>16</v>
      </c>
      <c r="F57" s="17">
        <v>8</v>
      </c>
      <c r="G57" s="6">
        <v>22000</v>
      </c>
      <c r="H57" s="6">
        <f>SalesData[[#This Row],[Quantity]]*SalesData[[#This Row],[Unit Price]]</f>
        <v>176000</v>
      </c>
      <c r="I57" s="7" t="s">
        <v>13</v>
      </c>
    </row>
    <row r="58" spans="1:9">
      <c r="A58" s="5" t="s">
        <v>84</v>
      </c>
      <c r="B58" s="13">
        <v>46287</v>
      </c>
      <c r="C58" s="6" t="s">
        <v>45</v>
      </c>
      <c r="D58" s="6" t="s">
        <v>11</v>
      </c>
      <c r="E58" s="6" t="s">
        <v>12</v>
      </c>
      <c r="F58" s="17">
        <v>1</v>
      </c>
      <c r="G58" s="6">
        <v>6500</v>
      </c>
      <c r="H58" s="6">
        <f>SalesData[[#This Row],[Quantity]]*SalesData[[#This Row],[Unit Price]]</f>
        <v>6500</v>
      </c>
      <c r="I58" s="7" t="s">
        <v>39</v>
      </c>
    </row>
    <row r="59" spans="1:9">
      <c r="A59" s="5" t="s">
        <v>85</v>
      </c>
      <c r="B59" s="13">
        <v>46274</v>
      </c>
      <c r="C59" s="6" t="s">
        <v>24</v>
      </c>
      <c r="D59" s="6" t="s">
        <v>15</v>
      </c>
      <c r="E59" s="6" t="s">
        <v>20</v>
      </c>
      <c r="F59" s="17">
        <v>3</v>
      </c>
      <c r="G59" s="6">
        <v>85000</v>
      </c>
      <c r="H59" s="6">
        <f>SalesData[[#This Row],[Quantity]]*SalesData[[#This Row],[Unit Price]]</f>
        <v>255000</v>
      </c>
      <c r="I59" s="7" t="s">
        <v>13</v>
      </c>
    </row>
    <row r="60" spans="1:9">
      <c r="A60" s="5" t="s">
        <v>86</v>
      </c>
      <c r="B60" s="13">
        <v>46275</v>
      </c>
      <c r="C60" s="6" t="s">
        <v>45</v>
      </c>
      <c r="D60" s="6" t="s">
        <v>19</v>
      </c>
      <c r="E60" s="6" t="s">
        <v>16</v>
      </c>
      <c r="F60" s="17">
        <v>5</v>
      </c>
      <c r="G60" s="6">
        <v>22000</v>
      </c>
      <c r="H60" s="6">
        <f>SalesData[[#This Row],[Quantity]]*SalesData[[#This Row],[Unit Price]]</f>
        <v>110000</v>
      </c>
      <c r="I60" s="7" t="s">
        <v>13</v>
      </c>
    </row>
    <row r="61" spans="1:9">
      <c r="A61" s="5" t="s">
        <v>87</v>
      </c>
      <c r="B61" s="13">
        <v>46282</v>
      </c>
      <c r="C61" s="6" t="s">
        <v>38</v>
      </c>
      <c r="D61" s="6" t="s">
        <v>11</v>
      </c>
      <c r="E61" s="6" t="s">
        <v>16</v>
      </c>
      <c r="F61" s="17">
        <v>5</v>
      </c>
      <c r="G61" s="6">
        <v>22000</v>
      </c>
      <c r="H61" s="6">
        <f>SalesData[[#This Row],[Quantity]]*SalesData[[#This Row],[Unit Price]]</f>
        <v>110000</v>
      </c>
      <c r="I61" s="7" t="s">
        <v>31</v>
      </c>
    </row>
    <row r="62" spans="1:9">
      <c r="A62" s="5" t="s">
        <v>88</v>
      </c>
      <c r="B62" s="13">
        <v>46286</v>
      </c>
      <c r="C62" s="6" t="s">
        <v>38</v>
      </c>
      <c r="D62" s="6" t="s">
        <v>11</v>
      </c>
      <c r="E62" s="6" t="s">
        <v>20</v>
      </c>
      <c r="F62" s="17">
        <v>2</v>
      </c>
      <c r="G62" s="6">
        <v>85000</v>
      </c>
      <c r="H62" s="6">
        <f>SalesData[[#This Row],[Quantity]]*SalesData[[#This Row],[Unit Price]]</f>
        <v>170000</v>
      </c>
      <c r="I62" s="7" t="s">
        <v>13</v>
      </c>
    </row>
    <row r="63" spans="1:9">
      <c r="A63" s="5" t="s">
        <v>89</v>
      </c>
      <c r="B63" s="13">
        <v>46286</v>
      </c>
      <c r="C63" s="6" t="s">
        <v>29</v>
      </c>
      <c r="D63" s="6" t="s">
        <v>19</v>
      </c>
      <c r="E63" s="6" t="s">
        <v>27</v>
      </c>
      <c r="F63" s="17">
        <v>3</v>
      </c>
      <c r="G63" s="6">
        <v>4500</v>
      </c>
      <c r="H63" s="6">
        <f>SalesData[[#This Row],[Quantity]]*SalesData[[#This Row],[Unit Price]]</f>
        <v>13500</v>
      </c>
      <c r="I63" s="7" t="s">
        <v>13</v>
      </c>
    </row>
    <row r="64" spans="1:9">
      <c r="A64" s="5" t="s">
        <v>90</v>
      </c>
      <c r="B64" s="13">
        <v>46283</v>
      </c>
      <c r="C64" s="6" t="s">
        <v>24</v>
      </c>
      <c r="D64" s="6" t="s">
        <v>15</v>
      </c>
      <c r="E64" s="6" t="s">
        <v>25</v>
      </c>
      <c r="F64" s="17">
        <v>7</v>
      </c>
      <c r="G64" s="6">
        <v>32000</v>
      </c>
      <c r="H64" s="6">
        <f>SalesData[[#This Row],[Quantity]]*SalesData[[#This Row],[Unit Price]]</f>
        <v>224000</v>
      </c>
      <c r="I64" s="7" t="s">
        <v>13</v>
      </c>
    </row>
    <row r="65" spans="1:9">
      <c r="A65" s="5" t="s">
        <v>91</v>
      </c>
      <c r="B65" s="13">
        <v>46283</v>
      </c>
      <c r="C65" s="6" t="s">
        <v>24</v>
      </c>
      <c r="D65" s="6" t="s">
        <v>11</v>
      </c>
      <c r="E65" s="6" t="s">
        <v>12</v>
      </c>
      <c r="F65" s="17">
        <v>3</v>
      </c>
      <c r="G65" s="6">
        <v>6500</v>
      </c>
      <c r="H65" s="6">
        <f>SalesData[[#This Row],[Quantity]]*SalesData[[#This Row],[Unit Price]]</f>
        <v>19500</v>
      </c>
      <c r="I65" s="7" t="s">
        <v>13</v>
      </c>
    </row>
    <row r="66" spans="1:9">
      <c r="A66" s="5" t="s">
        <v>92</v>
      </c>
      <c r="B66" s="13">
        <v>46270</v>
      </c>
      <c r="C66" s="6" t="s">
        <v>24</v>
      </c>
      <c r="D66" s="6" t="s">
        <v>11</v>
      </c>
      <c r="E66" s="6" t="s">
        <v>16</v>
      </c>
      <c r="F66" s="17">
        <v>7</v>
      </c>
      <c r="G66" s="6">
        <v>22000</v>
      </c>
      <c r="H66" s="6">
        <f>SalesData[[#This Row],[Quantity]]*SalesData[[#This Row],[Unit Price]]</f>
        <v>154000</v>
      </c>
      <c r="I66" s="7" t="s">
        <v>13</v>
      </c>
    </row>
    <row r="67" spans="1:9">
      <c r="A67" s="5" t="s">
        <v>93</v>
      </c>
      <c r="B67" s="13">
        <v>46272</v>
      </c>
      <c r="C67" s="6" t="s">
        <v>10</v>
      </c>
      <c r="D67" s="6" t="s">
        <v>19</v>
      </c>
      <c r="E67" s="6" t="s">
        <v>20</v>
      </c>
      <c r="F67" s="17">
        <v>6</v>
      </c>
      <c r="G67" s="6">
        <v>85000</v>
      </c>
      <c r="H67" s="6">
        <f>SalesData[[#This Row],[Quantity]]*SalesData[[#This Row],[Unit Price]]</f>
        <v>510000</v>
      </c>
      <c r="I67" s="7" t="s">
        <v>13</v>
      </c>
    </row>
    <row r="68" spans="1:9">
      <c r="A68" s="5" t="s">
        <v>94</v>
      </c>
      <c r="B68" s="13">
        <v>46285</v>
      </c>
      <c r="C68" s="6" t="s">
        <v>10</v>
      </c>
      <c r="D68" s="6" t="s">
        <v>19</v>
      </c>
      <c r="E68" s="6" t="s">
        <v>27</v>
      </c>
      <c r="F68" s="17">
        <v>7</v>
      </c>
      <c r="G68" s="6">
        <v>4500</v>
      </c>
      <c r="H68" s="6">
        <f>SalesData[[#This Row],[Quantity]]*SalesData[[#This Row],[Unit Price]]</f>
        <v>31500</v>
      </c>
      <c r="I68" s="7" t="s">
        <v>31</v>
      </c>
    </row>
    <row r="69" spans="1:9">
      <c r="A69" s="5" t="s">
        <v>95</v>
      </c>
      <c r="B69" s="13">
        <v>46291</v>
      </c>
      <c r="C69" s="6" t="s">
        <v>18</v>
      </c>
      <c r="D69" s="6" t="s">
        <v>22</v>
      </c>
      <c r="E69" s="6" t="s">
        <v>16</v>
      </c>
      <c r="F69" s="17">
        <v>3</v>
      </c>
      <c r="G69" s="6">
        <v>22000</v>
      </c>
      <c r="H69" s="6">
        <f>SalesData[[#This Row],[Quantity]]*SalesData[[#This Row],[Unit Price]]</f>
        <v>66000</v>
      </c>
      <c r="I69" s="7" t="s">
        <v>13</v>
      </c>
    </row>
    <row r="70" spans="1:9">
      <c r="A70" s="5" t="s">
        <v>96</v>
      </c>
      <c r="B70" s="13">
        <v>46291</v>
      </c>
      <c r="C70" s="6" t="s">
        <v>38</v>
      </c>
      <c r="D70" s="6" t="s">
        <v>19</v>
      </c>
      <c r="E70" s="6" t="s">
        <v>12</v>
      </c>
      <c r="F70" s="17">
        <v>6</v>
      </c>
      <c r="G70" s="6">
        <v>6500</v>
      </c>
      <c r="H70" s="6">
        <f>SalesData[[#This Row],[Quantity]]*SalesData[[#This Row],[Unit Price]]</f>
        <v>39000</v>
      </c>
      <c r="I70" s="7" t="s">
        <v>13</v>
      </c>
    </row>
    <row r="71" spans="1:9">
      <c r="A71" s="5" t="s">
        <v>97</v>
      </c>
      <c r="B71" s="13">
        <v>46278</v>
      </c>
      <c r="C71" s="6" t="s">
        <v>24</v>
      </c>
      <c r="D71" s="6" t="s">
        <v>22</v>
      </c>
      <c r="E71" s="6" t="s">
        <v>12</v>
      </c>
      <c r="F71" s="17">
        <v>2</v>
      </c>
      <c r="G71" s="6">
        <v>6500</v>
      </c>
      <c r="H71" s="6">
        <f>SalesData[[#This Row],[Quantity]]*SalesData[[#This Row],[Unit Price]]</f>
        <v>13000</v>
      </c>
      <c r="I71" s="7" t="s">
        <v>13</v>
      </c>
    </row>
    <row r="72" spans="1:9">
      <c r="A72" s="5" t="s">
        <v>98</v>
      </c>
      <c r="B72" s="13">
        <v>46275</v>
      </c>
      <c r="C72" s="6" t="s">
        <v>18</v>
      </c>
      <c r="D72" s="6" t="s">
        <v>19</v>
      </c>
      <c r="E72" s="6" t="s">
        <v>30</v>
      </c>
      <c r="F72" s="17">
        <v>6</v>
      </c>
      <c r="G72" s="6">
        <v>2500</v>
      </c>
      <c r="H72" s="6">
        <f>SalesData[[#This Row],[Quantity]]*SalesData[[#This Row],[Unit Price]]</f>
        <v>15000</v>
      </c>
      <c r="I72" s="7" t="s">
        <v>13</v>
      </c>
    </row>
    <row r="73" spans="1:9">
      <c r="A73" s="5" t="s">
        <v>99</v>
      </c>
      <c r="B73" s="13">
        <v>46276</v>
      </c>
      <c r="C73" s="6" t="s">
        <v>29</v>
      </c>
      <c r="D73" s="6" t="s">
        <v>15</v>
      </c>
      <c r="E73" s="6" t="s">
        <v>16</v>
      </c>
      <c r="F73" s="17">
        <v>7</v>
      </c>
      <c r="G73" s="6">
        <v>22000</v>
      </c>
      <c r="H73" s="6">
        <f>SalesData[[#This Row],[Quantity]]*SalesData[[#This Row],[Unit Price]]</f>
        <v>154000</v>
      </c>
      <c r="I73" s="7" t="s">
        <v>39</v>
      </c>
    </row>
    <row r="74" spans="1:9">
      <c r="A74" s="5" t="s">
        <v>100</v>
      </c>
      <c r="B74" s="13">
        <v>46286</v>
      </c>
      <c r="C74" s="6" t="s">
        <v>45</v>
      </c>
      <c r="D74" s="6" t="s">
        <v>22</v>
      </c>
      <c r="E74" s="6" t="s">
        <v>27</v>
      </c>
      <c r="F74" s="17">
        <v>6</v>
      </c>
      <c r="G74" s="6">
        <v>4500</v>
      </c>
      <c r="H74" s="6">
        <f>SalesData[[#This Row],[Quantity]]*SalesData[[#This Row],[Unit Price]]</f>
        <v>27000</v>
      </c>
      <c r="I74" s="7" t="s">
        <v>13</v>
      </c>
    </row>
    <row r="75" spans="1:9">
      <c r="A75" s="5" t="s">
        <v>101</v>
      </c>
      <c r="B75" s="13">
        <v>46266</v>
      </c>
      <c r="C75" s="6" t="s">
        <v>24</v>
      </c>
      <c r="D75" s="6" t="s">
        <v>11</v>
      </c>
      <c r="E75" s="6" t="s">
        <v>25</v>
      </c>
      <c r="F75" s="17">
        <v>6</v>
      </c>
      <c r="G75" s="6">
        <v>32000</v>
      </c>
      <c r="H75" s="6">
        <f>SalesData[[#This Row],[Quantity]]*SalesData[[#This Row],[Unit Price]]</f>
        <v>192000</v>
      </c>
      <c r="I75" s="7" t="s">
        <v>13</v>
      </c>
    </row>
    <row r="76" spans="1:9">
      <c r="A76" s="5" t="s">
        <v>102</v>
      </c>
      <c r="B76" s="13">
        <v>46269</v>
      </c>
      <c r="C76" s="6" t="s">
        <v>45</v>
      </c>
      <c r="D76" s="6" t="s">
        <v>22</v>
      </c>
      <c r="E76" s="6" t="s">
        <v>27</v>
      </c>
      <c r="F76" s="17">
        <v>1</v>
      </c>
      <c r="G76" s="6">
        <v>4500</v>
      </c>
      <c r="H76" s="6">
        <f>SalesData[[#This Row],[Quantity]]*SalesData[[#This Row],[Unit Price]]</f>
        <v>4500</v>
      </c>
      <c r="I76" s="7" t="s">
        <v>13</v>
      </c>
    </row>
    <row r="77" spans="1:9">
      <c r="A77" s="5" t="s">
        <v>103</v>
      </c>
      <c r="B77" s="13">
        <v>46285</v>
      </c>
      <c r="C77" s="6" t="s">
        <v>45</v>
      </c>
      <c r="D77" s="6" t="s">
        <v>15</v>
      </c>
      <c r="E77" s="6" t="s">
        <v>27</v>
      </c>
      <c r="F77" s="17">
        <v>7</v>
      </c>
      <c r="G77" s="6">
        <v>4500</v>
      </c>
      <c r="H77" s="6">
        <f>SalesData[[#This Row],[Quantity]]*SalesData[[#This Row],[Unit Price]]</f>
        <v>31500</v>
      </c>
      <c r="I77" s="7" t="s">
        <v>13</v>
      </c>
    </row>
    <row r="78" spans="1:9">
      <c r="A78" s="5" t="s">
        <v>104</v>
      </c>
      <c r="B78" s="13">
        <v>46274</v>
      </c>
      <c r="C78" s="6" t="s">
        <v>24</v>
      </c>
      <c r="D78" s="6" t="s">
        <v>22</v>
      </c>
      <c r="E78" s="6" t="s">
        <v>25</v>
      </c>
      <c r="F78" s="17">
        <v>4</v>
      </c>
      <c r="G78" s="6">
        <v>32000</v>
      </c>
      <c r="H78" s="6">
        <f>SalesData[[#This Row],[Quantity]]*SalesData[[#This Row],[Unit Price]]</f>
        <v>128000</v>
      </c>
      <c r="I78" s="7" t="s">
        <v>13</v>
      </c>
    </row>
    <row r="79" spans="1:9">
      <c r="A79" s="5" t="s">
        <v>105</v>
      </c>
      <c r="B79" s="13">
        <v>46277</v>
      </c>
      <c r="C79" s="6" t="s">
        <v>38</v>
      </c>
      <c r="D79" s="6" t="s">
        <v>15</v>
      </c>
      <c r="E79" s="6" t="s">
        <v>25</v>
      </c>
      <c r="F79" s="17">
        <v>4</v>
      </c>
      <c r="G79" s="6">
        <v>32000</v>
      </c>
      <c r="H79" s="6">
        <f>SalesData[[#This Row],[Quantity]]*SalesData[[#This Row],[Unit Price]]</f>
        <v>128000</v>
      </c>
      <c r="I79" s="7" t="s">
        <v>39</v>
      </c>
    </row>
    <row r="80" spans="1:9">
      <c r="A80" s="5" t="s">
        <v>106</v>
      </c>
      <c r="B80" s="13">
        <v>46287</v>
      </c>
      <c r="C80" s="6" t="s">
        <v>24</v>
      </c>
      <c r="D80" s="6" t="s">
        <v>11</v>
      </c>
      <c r="E80" s="6" t="s">
        <v>27</v>
      </c>
      <c r="F80" s="17">
        <v>6</v>
      </c>
      <c r="G80" s="6">
        <v>4500</v>
      </c>
      <c r="H80" s="6">
        <f>SalesData[[#This Row],[Quantity]]*SalesData[[#This Row],[Unit Price]]</f>
        <v>27000</v>
      </c>
      <c r="I80" s="7" t="s">
        <v>13</v>
      </c>
    </row>
    <row r="81" spans="1:9">
      <c r="A81" s="5" t="s">
        <v>107</v>
      </c>
      <c r="B81" s="13">
        <v>46276</v>
      </c>
      <c r="C81" s="6" t="s">
        <v>38</v>
      </c>
      <c r="D81" s="6" t="s">
        <v>11</v>
      </c>
      <c r="E81" s="6" t="s">
        <v>12</v>
      </c>
      <c r="F81" s="17">
        <v>7</v>
      </c>
      <c r="G81" s="6">
        <v>6500</v>
      </c>
      <c r="H81" s="6">
        <f>SalesData[[#This Row],[Quantity]]*SalesData[[#This Row],[Unit Price]]</f>
        <v>45500</v>
      </c>
      <c r="I81" s="7" t="s">
        <v>13</v>
      </c>
    </row>
    <row r="82" spans="1:9">
      <c r="A82" s="5" t="s">
        <v>108</v>
      </c>
      <c r="B82" s="13">
        <v>46287</v>
      </c>
      <c r="C82" s="6" t="s">
        <v>38</v>
      </c>
      <c r="D82" s="6" t="s">
        <v>19</v>
      </c>
      <c r="E82" s="6" t="s">
        <v>16</v>
      </c>
      <c r="F82" s="17">
        <v>7</v>
      </c>
      <c r="G82" s="6">
        <v>22000</v>
      </c>
      <c r="H82" s="6">
        <f>SalesData[[#This Row],[Quantity]]*SalesData[[#This Row],[Unit Price]]</f>
        <v>154000</v>
      </c>
      <c r="I82" s="7" t="s">
        <v>13</v>
      </c>
    </row>
    <row r="83" spans="1:9">
      <c r="A83" s="5" t="s">
        <v>109</v>
      </c>
      <c r="B83" s="13">
        <v>46283</v>
      </c>
      <c r="C83" s="6" t="s">
        <v>24</v>
      </c>
      <c r="D83" s="6" t="s">
        <v>11</v>
      </c>
      <c r="E83" s="6" t="s">
        <v>27</v>
      </c>
      <c r="F83" s="17">
        <v>7</v>
      </c>
      <c r="G83" s="6">
        <v>4500</v>
      </c>
      <c r="H83" s="6">
        <f>SalesData[[#This Row],[Quantity]]*SalesData[[#This Row],[Unit Price]]</f>
        <v>31500</v>
      </c>
      <c r="I83" s="7" t="s">
        <v>13</v>
      </c>
    </row>
    <row r="84" spans="1:9">
      <c r="A84" s="5" t="s">
        <v>110</v>
      </c>
      <c r="B84" s="13">
        <v>46280</v>
      </c>
      <c r="C84" s="6" t="s">
        <v>38</v>
      </c>
      <c r="D84" s="6" t="s">
        <v>22</v>
      </c>
      <c r="E84" s="6" t="s">
        <v>30</v>
      </c>
      <c r="F84" s="17">
        <v>6</v>
      </c>
      <c r="G84" s="6">
        <v>2500</v>
      </c>
      <c r="H84" s="6">
        <f>SalesData[[#This Row],[Quantity]]*SalesData[[#This Row],[Unit Price]]</f>
        <v>15000</v>
      </c>
      <c r="I84" s="7" t="s">
        <v>13</v>
      </c>
    </row>
    <row r="85" spans="1:9">
      <c r="A85" s="5" t="s">
        <v>111</v>
      </c>
      <c r="B85" s="13">
        <v>46291</v>
      </c>
      <c r="C85" s="6" t="s">
        <v>10</v>
      </c>
      <c r="D85" s="6" t="s">
        <v>19</v>
      </c>
      <c r="E85" s="6" t="s">
        <v>25</v>
      </c>
      <c r="F85" s="17">
        <v>8</v>
      </c>
      <c r="G85" s="6">
        <v>32000</v>
      </c>
      <c r="H85" s="6">
        <f>SalesData[[#This Row],[Quantity]]*SalesData[[#This Row],[Unit Price]]</f>
        <v>256000</v>
      </c>
      <c r="I85" s="7" t="s">
        <v>13</v>
      </c>
    </row>
    <row r="86" spans="1:9">
      <c r="A86" s="5" t="s">
        <v>112</v>
      </c>
      <c r="B86" s="13">
        <v>46268</v>
      </c>
      <c r="C86" s="6" t="s">
        <v>18</v>
      </c>
      <c r="D86" s="6" t="s">
        <v>11</v>
      </c>
      <c r="E86" s="6" t="s">
        <v>27</v>
      </c>
      <c r="F86" s="17">
        <v>6</v>
      </c>
      <c r="G86" s="6">
        <v>4500</v>
      </c>
      <c r="H86" s="6">
        <f>SalesData[[#This Row],[Quantity]]*SalesData[[#This Row],[Unit Price]]</f>
        <v>27000</v>
      </c>
      <c r="I86" s="7" t="s">
        <v>13</v>
      </c>
    </row>
    <row r="87" spans="1:9">
      <c r="A87" s="5" t="s">
        <v>113</v>
      </c>
      <c r="B87" s="13">
        <v>46266</v>
      </c>
      <c r="C87" s="6" t="s">
        <v>24</v>
      </c>
      <c r="D87" s="6" t="s">
        <v>19</v>
      </c>
      <c r="E87" s="6" t="s">
        <v>16</v>
      </c>
      <c r="F87" s="17">
        <v>3</v>
      </c>
      <c r="G87" s="6">
        <v>22000</v>
      </c>
      <c r="H87" s="6">
        <f>SalesData[[#This Row],[Quantity]]*SalesData[[#This Row],[Unit Price]]</f>
        <v>66000</v>
      </c>
      <c r="I87" s="7" t="s">
        <v>39</v>
      </c>
    </row>
    <row r="88" spans="1:9">
      <c r="A88" s="5" t="s">
        <v>114</v>
      </c>
      <c r="B88" s="13">
        <v>46280</v>
      </c>
      <c r="C88" s="6" t="s">
        <v>38</v>
      </c>
      <c r="D88" s="6" t="s">
        <v>19</v>
      </c>
      <c r="E88" s="6" t="s">
        <v>25</v>
      </c>
      <c r="F88" s="17">
        <v>2</v>
      </c>
      <c r="G88" s="6">
        <v>32000</v>
      </c>
      <c r="H88" s="6">
        <f>SalesData[[#This Row],[Quantity]]*SalesData[[#This Row],[Unit Price]]</f>
        <v>64000</v>
      </c>
      <c r="I88" s="7" t="s">
        <v>13</v>
      </c>
    </row>
    <row r="89" spans="1:9">
      <c r="A89" s="5" t="s">
        <v>115</v>
      </c>
      <c r="B89" s="13">
        <v>46278</v>
      </c>
      <c r="C89" s="6" t="s">
        <v>18</v>
      </c>
      <c r="D89" s="6" t="s">
        <v>19</v>
      </c>
      <c r="E89" s="6" t="s">
        <v>30</v>
      </c>
      <c r="F89" s="17">
        <v>8</v>
      </c>
      <c r="G89" s="6">
        <v>2500</v>
      </c>
      <c r="H89" s="6">
        <f>SalesData[[#This Row],[Quantity]]*SalesData[[#This Row],[Unit Price]]</f>
        <v>20000</v>
      </c>
      <c r="I89" s="7" t="s">
        <v>13</v>
      </c>
    </row>
    <row r="90" spans="1:9">
      <c r="A90" s="5" t="s">
        <v>116</v>
      </c>
      <c r="B90" s="13">
        <v>46290</v>
      </c>
      <c r="C90" s="6" t="s">
        <v>38</v>
      </c>
      <c r="D90" s="6" t="s">
        <v>19</v>
      </c>
      <c r="E90" s="6" t="s">
        <v>20</v>
      </c>
      <c r="F90" s="17">
        <v>2</v>
      </c>
      <c r="G90" s="6">
        <v>85000</v>
      </c>
      <c r="H90" s="6">
        <f>SalesData[[#This Row],[Quantity]]*SalesData[[#This Row],[Unit Price]]</f>
        <v>170000</v>
      </c>
      <c r="I90" s="7" t="s">
        <v>13</v>
      </c>
    </row>
    <row r="91" spans="1:9">
      <c r="A91" s="5" t="s">
        <v>117</v>
      </c>
      <c r="B91" s="13">
        <v>46267</v>
      </c>
      <c r="C91" s="6" t="s">
        <v>45</v>
      </c>
      <c r="D91" s="6" t="s">
        <v>19</v>
      </c>
      <c r="E91" s="6" t="s">
        <v>12</v>
      </c>
      <c r="F91" s="17">
        <v>8</v>
      </c>
      <c r="G91" s="6">
        <v>6500</v>
      </c>
      <c r="H91" s="6">
        <f>SalesData[[#This Row],[Quantity]]*SalesData[[#This Row],[Unit Price]]</f>
        <v>52000</v>
      </c>
      <c r="I91" s="7" t="s">
        <v>31</v>
      </c>
    </row>
    <row r="92" spans="1:9">
      <c r="A92" s="5" t="s">
        <v>118</v>
      </c>
      <c r="B92" s="13">
        <v>46270</v>
      </c>
      <c r="C92" s="6" t="s">
        <v>38</v>
      </c>
      <c r="D92" s="6" t="s">
        <v>11</v>
      </c>
      <c r="E92" s="6" t="s">
        <v>20</v>
      </c>
      <c r="F92" s="17">
        <v>8</v>
      </c>
      <c r="G92" s="6">
        <v>85000</v>
      </c>
      <c r="H92" s="6">
        <f>SalesData[[#This Row],[Quantity]]*SalesData[[#This Row],[Unit Price]]</f>
        <v>680000</v>
      </c>
      <c r="I92" s="7" t="s">
        <v>39</v>
      </c>
    </row>
    <row r="93" spans="1:9">
      <c r="A93" s="5" t="s">
        <v>119</v>
      </c>
      <c r="B93" s="13">
        <v>46292</v>
      </c>
      <c r="C93" s="6" t="s">
        <v>45</v>
      </c>
      <c r="D93" s="6" t="s">
        <v>22</v>
      </c>
      <c r="E93" s="6" t="s">
        <v>30</v>
      </c>
      <c r="F93" s="17">
        <v>7</v>
      </c>
      <c r="G93" s="6">
        <v>2500</v>
      </c>
      <c r="H93" s="6">
        <f>SalesData[[#This Row],[Quantity]]*SalesData[[#This Row],[Unit Price]]</f>
        <v>17500</v>
      </c>
      <c r="I93" s="7" t="s">
        <v>31</v>
      </c>
    </row>
    <row r="94" spans="1:9">
      <c r="A94" s="5" t="s">
        <v>120</v>
      </c>
      <c r="B94" s="13">
        <v>46280</v>
      </c>
      <c r="C94" s="6" t="s">
        <v>29</v>
      </c>
      <c r="D94" s="6" t="s">
        <v>19</v>
      </c>
      <c r="E94" s="6" t="s">
        <v>12</v>
      </c>
      <c r="F94" s="17">
        <v>8</v>
      </c>
      <c r="G94" s="6">
        <v>6500</v>
      </c>
      <c r="H94" s="6">
        <f>SalesData[[#This Row],[Quantity]]*SalesData[[#This Row],[Unit Price]]</f>
        <v>52000</v>
      </c>
      <c r="I94" s="7" t="s">
        <v>31</v>
      </c>
    </row>
    <row r="95" spans="1:9">
      <c r="A95" s="5" t="s">
        <v>121</v>
      </c>
      <c r="B95" s="13">
        <v>46286</v>
      </c>
      <c r="C95" s="6" t="s">
        <v>18</v>
      </c>
      <c r="D95" s="6" t="s">
        <v>11</v>
      </c>
      <c r="E95" s="6" t="s">
        <v>27</v>
      </c>
      <c r="F95" s="17">
        <v>8</v>
      </c>
      <c r="G95" s="6">
        <v>4500</v>
      </c>
      <c r="H95" s="6">
        <f>SalesData[[#This Row],[Quantity]]*SalesData[[#This Row],[Unit Price]]</f>
        <v>36000</v>
      </c>
      <c r="I95" s="7" t="s">
        <v>13</v>
      </c>
    </row>
    <row r="96" spans="1:9">
      <c r="A96" s="5" t="s">
        <v>122</v>
      </c>
      <c r="B96" s="13">
        <v>46273</v>
      </c>
      <c r="C96" s="6" t="s">
        <v>29</v>
      </c>
      <c r="D96" s="6" t="s">
        <v>11</v>
      </c>
      <c r="E96" s="6" t="s">
        <v>12</v>
      </c>
      <c r="F96" s="17">
        <v>5</v>
      </c>
      <c r="G96" s="6">
        <v>6500</v>
      </c>
      <c r="H96" s="6">
        <f>SalesData[[#This Row],[Quantity]]*SalesData[[#This Row],[Unit Price]]</f>
        <v>32500</v>
      </c>
      <c r="I96" s="7" t="s">
        <v>13</v>
      </c>
    </row>
    <row r="97" spans="1:9">
      <c r="A97" s="5" t="s">
        <v>123</v>
      </c>
      <c r="B97" s="13">
        <v>46270</v>
      </c>
      <c r="C97" s="6" t="s">
        <v>18</v>
      </c>
      <c r="D97" s="6" t="s">
        <v>19</v>
      </c>
      <c r="E97" s="6" t="s">
        <v>25</v>
      </c>
      <c r="F97" s="17">
        <v>2</v>
      </c>
      <c r="G97" s="6">
        <v>32000</v>
      </c>
      <c r="H97" s="6">
        <f>SalesData[[#This Row],[Quantity]]*SalesData[[#This Row],[Unit Price]]</f>
        <v>64000</v>
      </c>
      <c r="I97" s="7" t="s">
        <v>13</v>
      </c>
    </row>
    <row r="98" spans="1:9">
      <c r="A98" s="5" t="s">
        <v>124</v>
      </c>
      <c r="B98" s="13">
        <v>46268</v>
      </c>
      <c r="C98" s="6" t="s">
        <v>38</v>
      </c>
      <c r="D98" s="6" t="s">
        <v>22</v>
      </c>
      <c r="E98" s="6" t="s">
        <v>16</v>
      </c>
      <c r="F98" s="17">
        <v>4</v>
      </c>
      <c r="G98" s="6">
        <v>22000</v>
      </c>
      <c r="H98" s="6">
        <f>SalesData[[#This Row],[Quantity]]*SalesData[[#This Row],[Unit Price]]</f>
        <v>88000</v>
      </c>
      <c r="I98" s="7" t="s">
        <v>13</v>
      </c>
    </row>
    <row r="99" spans="1:9">
      <c r="A99" s="5" t="s">
        <v>125</v>
      </c>
      <c r="B99" s="13">
        <v>46267</v>
      </c>
      <c r="C99" s="6" t="s">
        <v>18</v>
      </c>
      <c r="D99" s="6" t="s">
        <v>22</v>
      </c>
      <c r="E99" s="6" t="s">
        <v>30</v>
      </c>
      <c r="F99" s="17">
        <v>7</v>
      </c>
      <c r="G99" s="6">
        <v>2500</v>
      </c>
      <c r="H99" s="6">
        <f>SalesData[[#This Row],[Quantity]]*SalesData[[#This Row],[Unit Price]]</f>
        <v>17500</v>
      </c>
      <c r="I99" s="7" t="s">
        <v>13</v>
      </c>
    </row>
    <row r="100" spans="1:9">
      <c r="A100" s="5" t="s">
        <v>126</v>
      </c>
      <c r="B100" s="13">
        <v>46293</v>
      </c>
      <c r="C100" s="6" t="s">
        <v>45</v>
      </c>
      <c r="D100" s="6" t="s">
        <v>22</v>
      </c>
      <c r="E100" s="6" t="s">
        <v>25</v>
      </c>
      <c r="F100" s="17">
        <v>1</v>
      </c>
      <c r="G100" s="6">
        <v>32000</v>
      </c>
      <c r="H100" s="6">
        <f>SalesData[[#This Row],[Quantity]]*SalesData[[#This Row],[Unit Price]]</f>
        <v>32000</v>
      </c>
      <c r="I100" s="7" t="s">
        <v>13</v>
      </c>
    </row>
    <row r="101" spans="1:9">
      <c r="A101" s="8" t="s">
        <v>127</v>
      </c>
      <c r="B101" s="14">
        <v>46290</v>
      </c>
      <c r="C101" s="9" t="s">
        <v>38</v>
      </c>
      <c r="D101" s="9" t="s">
        <v>22</v>
      </c>
      <c r="E101" s="9" t="s">
        <v>27</v>
      </c>
      <c r="F101" s="18">
        <v>5</v>
      </c>
      <c r="G101" s="9">
        <v>4500</v>
      </c>
      <c r="H101" s="9">
        <f>SalesData[[#This Row],[Quantity]]*SalesData[[#This Row],[Unit Price]]</f>
        <v>22500</v>
      </c>
      <c r="I101" s="10" t="s">
        <v>13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5CC6-52D3-4477-908A-E1FAEB414B3C}">
  <dimension ref="A1:H17"/>
  <sheetViews>
    <sheetView workbookViewId="0">
      <selection activeCell="B7" sqref="B7"/>
    </sheetView>
  </sheetViews>
  <sheetFormatPr defaultRowHeight="15"/>
  <cols>
    <col min="1" max="1" width="19" bestFit="1" customWidth="1"/>
    <col min="2" max="2" width="8" bestFit="1" customWidth="1"/>
  </cols>
  <sheetData>
    <row r="1" spans="1:6" ht="23.25">
      <c r="A1" s="20" t="s">
        <v>128</v>
      </c>
      <c r="B1" s="20"/>
      <c r="C1" s="20"/>
      <c r="D1" s="20"/>
      <c r="E1" s="20"/>
      <c r="F1" s="20"/>
    </row>
    <row r="5" spans="1:6" ht="18.75">
      <c r="A5" s="21" t="s">
        <v>8</v>
      </c>
      <c r="B5">
        <f>SUM(Transactions!H:H)</f>
        <v>9733500</v>
      </c>
    </row>
    <row r="6" spans="1:6" ht="18.75">
      <c r="A6" s="21" t="s">
        <v>129</v>
      </c>
      <c r="B6">
        <f>COUNTA(Transactions!A:A)</f>
        <v>101</v>
      </c>
    </row>
    <row r="7" spans="1:6" ht="18.75">
      <c r="A7" s="21" t="s">
        <v>130</v>
      </c>
      <c r="B7" s="19">
        <f>SUM(Transactions!F:F)</f>
        <v>450</v>
      </c>
    </row>
    <row r="8" spans="1:6">
      <c r="A8" t="s">
        <v>131</v>
      </c>
      <c r="B8" s="19">
        <f>B5/B6</f>
        <v>96371.287128712866</v>
      </c>
    </row>
    <row r="17" spans="8:8">
      <c r="H17">
        <v>9733500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3916-04E0-4597-8A61-E9FF076A5DC0}">
  <dimension ref="E2:J12"/>
  <sheetViews>
    <sheetView tabSelected="1" topLeftCell="A13" zoomScale="68" workbookViewId="0">
      <selection activeCell="S22" sqref="S22"/>
    </sheetView>
  </sheetViews>
  <sheetFormatPr defaultRowHeight="15"/>
  <sheetData>
    <row r="2" spans="5:10" ht="15.75" thickBot="1"/>
    <row r="3" spans="5:10" ht="24">
      <c r="E3" s="27" t="s">
        <v>135</v>
      </c>
      <c r="F3" s="28"/>
      <c r="G3" s="28"/>
      <c r="H3" s="28"/>
      <c r="I3" s="29"/>
    </row>
    <row r="4" spans="5:10" ht="24.75" thickBot="1">
      <c r="E4" s="31" t="s">
        <v>136</v>
      </c>
      <c r="F4" s="32"/>
      <c r="G4" s="32"/>
      <c r="H4" s="32"/>
      <c r="I4" s="33"/>
    </row>
    <row r="5" spans="5:10" ht="24">
      <c r="E5" s="34"/>
      <c r="F5" s="34"/>
      <c r="G5" s="34"/>
      <c r="H5" s="34"/>
      <c r="I5" s="34"/>
    </row>
    <row r="6" spans="5:10" ht="18.75">
      <c r="E6" s="30" t="s">
        <v>8</v>
      </c>
      <c r="F6" s="30"/>
      <c r="G6" s="35"/>
      <c r="H6" s="30" t="s">
        <v>129</v>
      </c>
      <c r="I6" s="30"/>
    </row>
    <row r="7" spans="5:10" ht="24">
      <c r="E7" s="36">
        <f>'Monthly Summary'!B5</f>
        <v>9733500</v>
      </c>
      <c r="F7" s="36"/>
      <c r="G7" s="35"/>
      <c r="H7" s="36">
        <f>'Monthly Summary'!B6</f>
        <v>101</v>
      </c>
      <c r="I7" s="36"/>
      <c r="J7" s="11"/>
    </row>
    <row r="8" spans="5:10" ht="24">
      <c r="E8" s="22"/>
      <c r="F8" s="37"/>
      <c r="G8" s="22"/>
      <c r="H8" s="22"/>
      <c r="I8" s="22"/>
    </row>
    <row r="9" spans="5:10" ht="24">
      <c r="E9" s="30" t="s">
        <v>137</v>
      </c>
      <c r="F9" s="30"/>
      <c r="G9" s="22"/>
      <c r="H9" s="30" t="s">
        <v>138</v>
      </c>
      <c r="I9" s="30"/>
    </row>
    <row r="10" spans="5:10" ht="24">
      <c r="E10" s="38">
        <f>'Monthly Summary'!B7</f>
        <v>450</v>
      </c>
      <c r="F10" s="36"/>
      <c r="G10" s="22"/>
      <c r="H10" s="39">
        <f>'Monthly Summary'!B8</f>
        <v>96371.287128712866</v>
      </c>
      <c r="I10" s="39"/>
    </row>
    <row r="11" spans="5:10">
      <c r="E11" s="40" t="s">
        <v>137</v>
      </c>
      <c r="F11" s="40"/>
    </row>
    <row r="12" spans="5:10">
      <c r="G12" s="1"/>
    </row>
  </sheetData>
  <mergeCells count="13">
    <mergeCell ref="E9:F9"/>
    <mergeCell ref="E10:F10"/>
    <mergeCell ref="H9:I9"/>
    <mergeCell ref="H10:I10"/>
    <mergeCell ref="E11:F11"/>
    <mergeCell ref="E3:I3"/>
    <mergeCell ref="E4:I4"/>
    <mergeCell ref="E6:F6"/>
    <mergeCell ref="E7:F7"/>
    <mergeCell ref="H6:I6"/>
    <mergeCell ref="H7:I7"/>
    <mergeCell ref="G6:G7"/>
    <mergeCell ref="E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C22D-D289-40E4-8275-91D526B52329}">
  <dimension ref="A3:B8"/>
  <sheetViews>
    <sheetView workbookViewId="0">
      <selection activeCell="A5" sqref="A5"/>
    </sheetView>
  </sheetViews>
  <sheetFormatPr defaultRowHeight="15"/>
  <cols>
    <col min="1" max="1" width="13.42578125" bestFit="1" customWidth="1"/>
    <col min="2" max="2" width="17.7109375" bestFit="1" customWidth="1"/>
  </cols>
  <sheetData>
    <row r="3" spans="1:2">
      <c r="A3" s="23" t="s">
        <v>132</v>
      </c>
      <c r="B3" t="s">
        <v>134</v>
      </c>
    </row>
    <row r="4" spans="1:2">
      <c r="A4" s="24" t="s">
        <v>15</v>
      </c>
      <c r="B4" s="25">
        <v>2221500</v>
      </c>
    </row>
    <row r="5" spans="1:2">
      <c r="A5" s="24" t="s">
        <v>11</v>
      </c>
      <c r="B5" s="25">
        <v>2223500</v>
      </c>
    </row>
    <row r="6" spans="1:2">
      <c r="A6" s="24" t="s">
        <v>22</v>
      </c>
      <c r="B6" s="25">
        <v>2184000</v>
      </c>
    </row>
    <row r="7" spans="1:2">
      <c r="A7" s="24" t="s">
        <v>19</v>
      </c>
      <c r="B7" s="25">
        <v>3104500</v>
      </c>
    </row>
    <row r="8" spans="1:2">
      <c r="A8" s="24" t="s">
        <v>133</v>
      </c>
      <c r="B8" s="25">
        <v>9733500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E185-EAEC-4172-A067-181F4003BD5A}">
  <dimension ref="A3:B10"/>
  <sheetViews>
    <sheetView workbookViewId="0">
      <selection activeCell="A3" sqref="A3:B10"/>
    </sheetView>
  </sheetViews>
  <sheetFormatPr defaultRowHeight="15"/>
  <cols>
    <col min="1" max="1" width="13.42578125" bestFit="1" customWidth="1"/>
    <col min="2" max="2" width="17.7109375" bestFit="1" customWidth="1"/>
  </cols>
  <sheetData>
    <row r="3" spans="1:2">
      <c r="A3" s="23" t="s">
        <v>132</v>
      </c>
      <c r="B3" t="s">
        <v>134</v>
      </c>
    </row>
    <row r="4" spans="1:2">
      <c r="A4" s="24" t="s">
        <v>12</v>
      </c>
      <c r="B4" s="25">
        <v>513500</v>
      </c>
    </row>
    <row r="5" spans="1:2">
      <c r="A5" s="24" t="s">
        <v>27</v>
      </c>
      <c r="B5" s="25">
        <v>418500</v>
      </c>
    </row>
    <row r="6" spans="1:2">
      <c r="A6" s="24" t="s">
        <v>20</v>
      </c>
      <c r="B6" s="25">
        <v>4335000</v>
      </c>
    </row>
    <row r="7" spans="1:2">
      <c r="A7" s="24" t="s">
        <v>16</v>
      </c>
      <c r="B7" s="25">
        <v>1936000</v>
      </c>
    </row>
    <row r="8" spans="1:2">
      <c r="A8" s="24" t="s">
        <v>30</v>
      </c>
      <c r="B8" s="25">
        <v>162500</v>
      </c>
    </row>
    <row r="9" spans="1:2">
      <c r="A9" s="24" t="s">
        <v>25</v>
      </c>
      <c r="B9" s="25">
        <v>2368000</v>
      </c>
    </row>
    <row r="10" spans="1:2">
      <c r="A10" s="24" t="s">
        <v>133</v>
      </c>
      <c r="B10" s="25">
        <v>9733500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1CB2-DB6F-445C-B60D-E360C1200251}">
  <dimension ref="A3:B10"/>
  <sheetViews>
    <sheetView workbookViewId="0">
      <selection activeCell="A3" sqref="A3:B10"/>
    </sheetView>
  </sheetViews>
  <sheetFormatPr defaultRowHeight="15"/>
  <cols>
    <col min="1" max="1" width="13.42578125" bestFit="1" customWidth="1"/>
    <col min="2" max="2" width="17.7109375" bestFit="1" customWidth="1"/>
  </cols>
  <sheetData>
    <row r="3" spans="1:2">
      <c r="A3" s="23" t="s">
        <v>132</v>
      </c>
      <c r="B3" t="s">
        <v>134</v>
      </c>
    </row>
    <row r="4" spans="1:2">
      <c r="A4" s="24" t="s">
        <v>24</v>
      </c>
      <c r="B4" s="25">
        <v>1571500</v>
      </c>
    </row>
    <row r="5" spans="1:2">
      <c r="A5" s="24" t="s">
        <v>10</v>
      </c>
      <c r="B5" s="25">
        <v>2301500</v>
      </c>
    </row>
    <row r="6" spans="1:2">
      <c r="A6" s="24" t="s">
        <v>38</v>
      </c>
      <c r="B6" s="25">
        <v>2161000</v>
      </c>
    </row>
    <row r="7" spans="1:2">
      <c r="A7" s="24" t="s">
        <v>45</v>
      </c>
      <c r="B7" s="25">
        <v>1358000</v>
      </c>
    </row>
    <row r="8" spans="1:2">
      <c r="A8" s="24" t="s">
        <v>18</v>
      </c>
      <c r="B8" s="25">
        <v>1029000</v>
      </c>
    </row>
    <row r="9" spans="1:2">
      <c r="A9" s="24" t="s">
        <v>29</v>
      </c>
      <c r="B9" s="25">
        <v>1312500</v>
      </c>
    </row>
    <row r="10" spans="1:2">
      <c r="A10" s="24" t="s">
        <v>133</v>
      </c>
      <c r="B10" s="25">
        <v>9733500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BFB5-2A39-4B3F-B49C-9478BF83A106}">
  <dimension ref="A3:B32"/>
  <sheetViews>
    <sheetView workbookViewId="0">
      <selection activeCell="B26" sqref="B26"/>
    </sheetView>
  </sheetViews>
  <sheetFormatPr defaultRowHeight="15"/>
  <cols>
    <col min="1" max="1" width="13.42578125" bestFit="1" customWidth="1"/>
    <col min="2" max="2" width="17.7109375" bestFit="1" customWidth="1"/>
  </cols>
  <sheetData>
    <row r="3" spans="1:2">
      <c r="A3" s="23" t="s">
        <v>132</v>
      </c>
      <c r="B3" t="s">
        <v>134</v>
      </c>
    </row>
    <row r="4" spans="1:2">
      <c r="A4" s="26">
        <v>46266</v>
      </c>
      <c r="B4" s="25">
        <v>271000</v>
      </c>
    </row>
    <row r="5" spans="1:2">
      <c r="A5" s="26">
        <v>46267</v>
      </c>
      <c r="B5" s="25">
        <v>164500</v>
      </c>
    </row>
    <row r="6" spans="1:2">
      <c r="A6" s="26">
        <v>46268</v>
      </c>
      <c r="B6" s="25">
        <v>884000</v>
      </c>
    </row>
    <row r="7" spans="1:2">
      <c r="A7" s="26">
        <v>46269</v>
      </c>
      <c r="B7" s="25">
        <v>4500</v>
      </c>
    </row>
    <row r="8" spans="1:2">
      <c r="A8" s="26">
        <v>46270</v>
      </c>
      <c r="B8" s="25">
        <v>1366500</v>
      </c>
    </row>
    <row r="9" spans="1:2">
      <c r="A9" s="26">
        <v>46271</v>
      </c>
      <c r="B9" s="25">
        <v>17500</v>
      </c>
    </row>
    <row r="10" spans="1:2">
      <c r="A10" s="26">
        <v>46272</v>
      </c>
      <c r="B10" s="25">
        <v>1059500</v>
      </c>
    </row>
    <row r="11" spans="1:2">
      <c r="A11" s="26">
        <v>46273</v>
      </c>
      <c r="B11" s="25">
        <v>202000</v>
      </c>
    </row>
    <row r="12" spans="1:2">
      <c r="A12" s="26">
        <v>46274</v>
      </c>
      <c r="B12" s="25">
        <v>383000</v>
      </c>
    </row>
    <row r="13" spans="1:2">
      <c r="A13" s="26">
        <v>46275</v>
      </c>
      <c r="B13" s="25">
        <v>161000</v>
      </c>
    </row>
    <row r="14" spans="1:2">
      <c r="A14" s="26">
        <v>46276</v>
      </c>
      <c r="B14" s="25">
        <v>243500</v>
      </c>
    </row>
    <row r="15" spans="1:2">
      <c r="A15" s="26">
        <v>46277</v>
      </c>
      <c r="B15" s="25">
        <v>133000</v>
      </c>
    </row>
    <row r="16" spans="1:2">
      <c r="A16" s="26">
        <v>46278</v>
      </c>
      <c r="B16" s="25">
        <v>574000</v>
      </c>
    </row>
    <row r="17" spans="1:2">
      <c r="A17" s="26">
        <v>46279</v>
      </c>
      <c r="B17" s="25">
        <v>267500</v>
      </c>
    </row>
    <row r="18" spans="1:2">
      <c r="A18" s="26">
        <v>46280</v>
      </c>
      <c r="B18" s="25">
        <v>386000</v>
      </c>
    </row>
    <row r="19" spans="1:2">
      <c r="A19" s="26">
        <v>46282</v>
      </c>
      <c r="B19" s="25">
        <v>220000</v>
      </c>
    </row>
    <row r="20" spans="1:2">
      <c r="A20" s="26">
        <v>46283</v>
      </c>
      <c r="B20" s="25">
        <v>337000</v>
      </c>
    </row>
    <row r="21" spans="1:2">
      <c r="A21" s="26">
        <v>46284</v>
      </c>
      <c r="B21" s="25">
        <v>112000</v>
      </c>
    </row>
    <row r="22" spans="1:2">
      <c r="A22" s="26">
        <v>46285</v>
      </c>
      <c r="B22" s="25">
        <v>104000</v>
      </c>
    </row>
    <row r="23" spans="1:2">
      <c r="A23" s="26">
        <v>46286</v>
      </c>
      <c r="B23" s="25">
        <v>246500</v>
      </c>
    </row>
    <row r="24" spans="1:2">
      <c r="A24" s="26">
        <v>46287</v>
      </c>
      <c r="B24" s="25">
        <v>289500</v>
      </c>
    </row>
    <row r="25" spans="1:2">
      <c r="A25" s="26">
        <v>46288</v>
      </c>
      <c r="B25" s="25">
        <v>638000</v>
      </c>
    </row>
    <row r="26" spans="1:2">
      <c r="A26" s="26">
        <v>46289</v>
      </c>
      <c r="B26" s="25">
        <v>330000</v>
      </c>
    </row>
    <row r="27" spans="1:2">
      <c r="A27" s="26">
        <v>46290</v>
      </c>
      <c r="B27" s="25">
        <v>352500</v>
      </c>
    </row>
    <row r="28" spans="1:2">
      <c r="A28" s="26">
        <v>46291</v>
      </c>
      <c r="B28" s="25">
        <v>521000</v>
      </c>
    </row>
    <row r="29" spans="1:2">
      <c r="A29" s="26">
        <v>46292</v>
      </c>
      <c r="B29" s="25">
        <v>193500</v>
      </c>
    </row>
    <row r="30" spans="1:2">
      <c r="A30" s="26">
        <v>46293</v>
      </c>
      <c r="B30" s="25">
        <v>140000</v>
      </c>
    </row>
    <row r="31" spans="1:2">
      <c r="A31" s="26">
        <v>46294</v>
      </c>
      <c r="B31" s="25">
        <v>132000</v>
      </c>
    </row>
    <row r="32" spans="1:2">
      <c r="A32" s="26" t="s">
        <v>133</v>
      </c>
      <c r="B32" s="25">
        <v>9733500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Monthly Summary</vt:lpstr>
      <vt:lpstr>Dashboard</vt:lpstr>
      <vt:lpstr>Sales by Region</vt:lpstr>
      <vt:lpstr>Sales by Product</vt:lpstr>
      <vt:lpstr>Sales by person</vt:lpstr>
      <vt:lpstr>Sales by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 fethi</dc:creator>
  <cp:lastModifiedBy>fethi fethi</cp:lastModifiedBy>
  <dcterms:created xsi:type="dcterms:W3CDTF">2026-09-18T19:16:40Z</dcterms:created>
  <dcterms:modified xsi:type="dcterms:W3CDTF">2026-09-18T21:14:34Z</dcterms:modified>
</cp:coreProperties>
</file>