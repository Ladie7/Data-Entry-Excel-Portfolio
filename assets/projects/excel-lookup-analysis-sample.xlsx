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thi\Downloads\"/>
    </mc:Choice>
  </mc:AlternateContent>
  <xr:revisionPtr revIDLastSave="0" documentId="8_{7D89C1F9-4B45-4FE4-B3B1-56DBAA90688C}" xr6:coauthVersionLast="47" xr6:coauthVersionMax="47" xr10:uidLastSave="{00000000-0000-0000-0000-000000000000}"/>
  <bookViews>
    <workbookView xWindow="-120" yWindow="-120" windowWidth="20730" windowHeight="11160" activeTab="4" xr2:uid="{459502D3-D312-4B4D-BE42-8DC7A2D9A824}"/>
  </bookViews>
  <sheets>
    <sheet name="Orders (2)" sheetId="5" r:id="rId1"/>
    <sheet name="Orders" sheetId="1" r:id="rId2"/>
    <sheet name="Product" sheetId="2" r:id="rId3"/>
    <sheet name="Analysis" sheetId="3" r:id="rId4"/>
    <sheet name="Pivot Analysis" sheetId="4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5" l="1"/>
  <c r="G11" i="5" s="1"/>
  <c r="E11" i="5"/>
  <c r="F10" i="5"/>
  <c r="G10" i="5" s="1"/>
  <c r="E10" i="5"/>
  <c r="F9" i="5"/>
  <c r="G9" i="5" s="1"/>
  <c r="E9" i="5"/>
  <c r="F8" i="5"/>
  <c r="G8" i="5" s="1"/>
  <c r="E8" i="5"/>
  <c r="F7" i="5"/>
  <c r="G7" i="5" s="1"/>
  <c r="E7" i="5"/>
  <c r="F6" i="5"/>
  <c r="G6" i="5" s="1"/>
  <c r="E6" i="5"/>
  <c r="F5" i="5"/>
  <c r="G5" i="5" s="1"/>
  <c r="E5" i="5"/>
  <c r="F4" i="5"/>
  <c r="G4" i="5" s="1"/>
  <c r="E4" i="5"/>
  <c r="F3" i="5"/>
  <c r="G3" i="5" s="1"/>
  <c r="E3" i="5"/>
  <c r="F2" i="5"/>
  <c r="G2" i="5" s="1"/>
  <c r="E2" i="5"/>
  <c r="B16" i="3"/>
  <c r="B15" i="3"/>
  <c r="G11" i="3"/>
  <c r="F11" i="3"/>
  <c r="E11" i="3"/>
  <c r="D11" i="3"/>
  <c r="D9" i="3"/>
  <c r="D8" i="3"/>
  <c r="D7" i="3"/>
  <c r="G11" i="1"/>
  <c r="G10" i="1"/>
  <c r="G9" i="1"/>
  <c r="G8" i="1"/>
  <c r="G7" i="1"/>
  <c r="G6" i="1"/>
  <c r="G5" i="1"/>
  <c r="G4" i="1"/>
  <c r="G3" i="1"/>
  <c r="G2" i="1"/>
  <c r="F11" i="1"/>
  <c r="F10" i="1"/>
  <c r="F9" i="1"/>
  <c r="F8" i="1"/>
  <c r="F7" i="1"/>
  <c r="F6" i="1"/>
  <c r="F5" i="1"/>
  <c r="F4" i="1"/>
  <c r="F3" i="1"/>
  <c r="F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<sst xmlns="http://schemas.openxmlformats.org/spreadsheetml/2006/main" count="107" uniqueCount="41">
  <si>
    <t>Order ID</t>
  </si>
  <si>
    <t>Customer</t>
  </si>
  <si>
    <t>Product</t>
  </si>
  <si>
    <t>Quantity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</si>
  <si>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</si>
  <si>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</si>
  <si>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</si>
  <si>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</si>
  <si>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</si>
  <si>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</si>
  <si>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</si>
  <si>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</si>
  <si>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</si>
  <si>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</si>
  <si>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Ahmed Benali</t>
  </si>
  <si>
    <t>Sara Ali</t>
  </si>
  <si>
    <t>Karim Said</t>
  </si>
  <si>
    <t>Lina Amrani</t>
  </si>
  <si>
    <t>Yacine Belkacem</t>
  </si>
  <si>
    <t>Amine Marseille</t>
  </si>
  <si>
    <t>Nadia Rahmani</t>
  </si>
  <si>
    <t>Samir Haddad</t>
  </si>
  <si>
    <t>Ines Bensaid</t>
  </si>
  <si>
    <t>Walid Mansouri</t>
  </si>
  <si>
    <t>Laptop</t>
  </si>
  <si>
    <t>Mouse</t>
  </si>
  <si>
    <t>Keyboard</t>
  </si>
  <si>
    <t>Monitor</t>
  </si>
  <si>
    <t>Category</t>
  </si>
  <si>
    <t>Unit Price</t>
  </si>
  <si>
    <t>Electronics</t>
  </si>
  <si>
    <t>Accessories</t>
  </si>
  <si>
    <t>Total Sales</t>
  </si>
  <si>
    <t>Sales Analysis</t>
  </si>
  <si>
    <t>Total Quantity</t>
  </si>
  <si>
    <t>Average Order Value</t>
  </si>
  <si>
    <t>Products</t>
  </si>
  <si>
    <t>Sales by Category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</si>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</sst>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Bodoni MT"/>
      <family val="1"/>
    </font>
    <font>
      <sz val="8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Bodoni MT"/>
      <family val="1"/>
    </font>
    <font>
      <b/>
      <sz val="12"/>
      <color theme="1"/>
      <name val="Aptos Narrow"/>
      <family val="2"/>
      <scheme val="minor"/>
    </font>
    <font>
      <b/>
      <sz val="11"/>
      <color theme="1"/>
      <name val="Californian FB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D0D0D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doni MT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family val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doni MT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 tint="4.9989318521683403E-2"/>
      </font>
    </dxf>
    <dxf>
      <font>
        <strike val="0"/>
        <outline val="0"/>
        <shadow val="0"/>
        <u val="none"/>
        <vertAlign val="baseline"/>
        <sz val="11"/>
        <color theme="1" tint="4.9989318521683403E-2"/>
      </font>
    </dxf>
    <dxf>
      <font>
        <strike val="0"/>
        <outline val="0"/>
        <shadow val="0"/>
        <u val="none"/>
        <vertAlign val="baseline"/>
        <sz val="11"/>
        <color theme="1" tint="4.9989318521683403E-2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doni MT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[excel-lookup-analysis-sample.xlsx]Pivot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'Pivot Analysis'!$B$4:$B$8</c:f>
              <c:numCache>
                <c:formatCode>General</c:formatCode>
                <c:ptCount val="4"/>
                <c:pt idx="0">
                  <c:v>225</c:v>
                </c:pt>
                <c:pt idx="1">
                  <c:v>3400</c:v>
                </c:pt>
                <c:pt idx="2">
                  <c:v>1100</c:v>
                </c:pt>
                <c:pt idx="3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7-4CF9-9B90-4EEB836F0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691599"/>
        <c:axId val="995688239"/>
      </c:barChart>
      <c:catAx>
        <c:axId val="99569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688239"/>
        <c:crosses val="autoZero"/>
        <c:auto val="1"/>
        <c:lblAlgn val="ctr"/>
        <c:lblOffset val="100"/>
        <c:noMultiLvlLbl val="0"/>
      </c:catAx>
      <c:valAx>
        <c:axId val="99568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69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166687</xdr:rowOff>
    </xdr:from>
    <xdr:to>
      <xdr:col>9</xdr:col>
      <xdr:colOff>476250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E5CA6-3205-DBE3-7C17-6A5C1CD26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thi fethi" refreshedDate="46284.935587731481" createdVersion="8" refreshedVersion="8" minRefreshableVersion="3" recordCount="10" xr:uid="{662BD899-2B6B-4625-BBBC-93B9676932C0}">
  <cacheSource type="worksheet">
    <worksheetSource name="Table1"/>
  </cacheSource>
  <cacheFields count="7">
    <cacheField name="Order ID" numFmtId="0">
      <sharedItems/>
    </cacheField>
    <cacheField name="Customer" numFmtId="0">
      <sharedItems/>
    </cacheField>
    <cacheField name="Product" numFmtId="0">
      <sharedItems count="4">
        <s v="Laptop"/>
        <s v="Mouse"/>
        <s v="Keyboard"/>
        <s v="Monitor"/>
      </sharedItems>
    </cacheField>
    <cacheField name="Quantity" numFmtId="0">
      <sharedItems containsSemiMixedTypes="0" containsString="0" containsNumber="1" containsInteger="1" minValue="1" maxValue="6"/>
    </cacheField>
    <cacheField name="Category" numFmtId="0">
      <sharedItems/>
    </cacheField>
    <cacheField name="Unit Price" numFmtId="0">
      <sharedItems containsSemiMixedTypes="0" containsString="0" containsNumber="1" containsInteger="1" minValue="25" maxValue="850"/>
    </cacheField>
    <cacheField name="Total Sales" numFmtId="0">
      <sharedItems containsSemiMixedTypes="0" containsString="0" containsNumber="1" containsInteger="1" minValue="90" maxValue="1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001"/>
    <s v="Ahmed Benali"/>
    <x v="0"/>
    <n v="2"/>
    <s v="Electronics"/>
    <n v="850"/>
    <n v="1700"/>
  </r>
  <r>
    <s v="ORD002"/>
    <s v="Sara Ali"/>
    <x v="1"/>
    <n v="5"/>
    <s v="Accessories"/>
    <n v="25"/>
    <n v="125"/>
  </r>
  <r>
    <s v="ORD003"/>
    <s v="Karim Said"/>
    <x v="2"/>
    <n v="3"/>
    <s v="Accessories"/>
    <n v="45"/>
    <n v="135"/>
  </r>
  <r>
    <s v="ORD004"/>
    <s v="Lina Amrani"/>
    <x v="3"/>
    <n v="2"/>
    <s v="Electronics"/>
    <n v="220"/>
    <n v="440"/>
  </r>
  <r>
    <s v="ORD005"/>
    <s v="Yacine Belkacem"/>
    <x v="0"/>
    <n v="1"/>
    <s v="Electronics"/>
    <n v="850"/>
    <n v="850"/>
  </r>
  <r>
    <s v="ORD006"/>
    <s v="Amine Marseille"/>
    <x v="1"/>
    <n v="4"/>
    <s v="Accessories"/>
    <n v="25"/>
    <n v="100"/>
  </r>
  <r>
    <s v="ORD007"/>
    <s v="Nadia Rahmani"/>
    <x v="3"/>
    <n v="3"/>
    <s v="Electronics"/>
    <n v="220"/>
    <n v="660"/>
  </r>
  <r>
    <s v="ORD008"/>
    <s v="Samir Haddad"/>
    <x v="2"/>
    <n v="2"/>
    <s v="Accessories"/>
    <n v="45"/>
    <n v="90"/>
  </r>
  <r>
    <s v="ORD009"/>
    <s v="Ines Bensaid"/>
    <x v="0"/>
    <n v="1"/>
    <s v="Electronics"/>
    <n v="850"/>
    <n v="850"/>
  </r>
  <r>
    <s v="ORD010"/>
    <s v="Walid Mansouri"/>
    <x v="1"/>
    <n v="6"/>
    <s v="Accessories"/>
    <n v="25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2C967-43C8-4A5F-BFF0-F2FD74BA6E4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7CEAF9-472D-46A3-8B6E-663551C85363}" name="Table14" displayName="Table14" ref="A1:G11" headerRowDxfId="8" dataDxfId="7">
  <tableColumns count="7">
    <tableColumn id="1" xr3:uid="{8535D83A-F462-4795-946E-A64C12E4464C}" name="Order ID" totalsRowLabel="Total" dataDxfId="6"/>
    <tableColumn id="2" xr3:uid="{34E7BA18-0354-4B41-BCB0-C389F5643AE3}" name="Customer" dataDxfId="5"/>
    <tableColumn id="3" xr3:uid="{61DBDF1C-76BF-4CAA-9BEA-D7C7882FBDBA}" name="Product" dataDxfId="4"/>
    <tableColumn id="4" xr3:uid="{33FC5F90-245E-48F4-8641-39F5AA8C1330}" name="Quantity" totalsRowFunction="sum" dataDxfId="3"/>
    <tableColumn id="5" xr3:uid="{61734A71-6CC1-4D6D-8FA2-8190246D208D}" name="Category" dataDxfId="2">
      <calculatedColumnFormula>_xlfn.XLOOKUP(C2,Table2[Product],Table2[Category])</calculatedColumnFormula>
    </tableColumn>
    <tableColumn id="6" xr3:uid="{723CEC9E-0BDE-4B54-BDD1-6A8503F7442E}" name="Unit Price" dataDxfId="1">
      <calculatedColumnFormula>_xlfn.XLOOKUP(Table14[[#This Row],[Product]],Table2[Product],Table2[Unit Price])</calculatedColumnFormula>
    </tableColumn>
    <tableColumn id="7" xr3:uid="{726FE764-1AA6-48F8-9E59-2543CC5ED84A}" name="Total Sales" dataDxfId="0">
      <calculatedColumnFormula>D2*F2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26B32-2D5B-446F-98FB-B1D27B8BA817}" name="Table1" displayName="Table1" ref="A1:G11" headerRowDxfId="22" dataDxfId="17">
  <tableColumns count="7">
    <tableColumn id="1" xr3:uid="{84FDB885-88AC-4B9A-86D1-1EE55F003CD1}" name="Order ID" totalsRowLabel="Total" dataDxfId="21"/>
    <tableColumn id="2" xr3:uid="{1190E0EC-AB40-46AB-AAD3-2F86666A02A8}" name="Customer" dataDxfId="20"/>
    <tableColumn id="3" xr3:uid="{D253F1FD-2A88-4156-BB10-FF2A59D1F33C}" name="Product" dataDxfId="19"/>
    <tableColumn id="4" xr3:uid="{632B60BC-DC38-41C4-BF2A-AB1ACBCEAA0B}" name="Quantity" totalsRowFunction="sum" dataDxfId="18"/>
    <tableColumn id="5" xr3:uid="{E2983E4A-934E-4EF3-BB68-85C412F18D55}" name="Category" dataDxfId="11">
      <calculatedColumnFormula>_xlfn.XLOOKUP(C2,Table2[Product],Table2[Category])</calculatedColumnFormula>
    </tableColumn>
    <tableColumn id="6" xr3:uid="{D16EF1A2-9244-40B8-BFE4-DD3C40698C7A}" name="Unit Price" dataDxfId="10">
      <calculatedColumnFormula>_xlfn.XLOOKUP(Table1[[#This Row],[Product]],Table2[Product],Table2[Unit Price])</calculatedColumnFormula>
    </tableColumn>
    <tableColumn id="7" xr3:uid="{599E0C7F-06A3-4EFA-A353-E858B88FDA33}" name="Total Sales" dataDxfId="9">
      <calculatedColumnFormula>D2*F2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08F183-A1DF-4102-B0C6-167CA204F639}" name="Table2" displayName="Table2" ref="A1:C5" totalsRowShown="0" headerRowDxfId="13" dataDxfId="12">
  <autoFilter ref="A1:C5" xr:uid="{4308F183-A1DF-4102-B0C6-167CA204F639}"/>
  <tableColumns count="3">
    <tableColumn id="1" xr3:uid="{ABD06825-47EF-473E-8877-C820836CB182}" name="Product" dataDxfId="16"/>
    <tableColumn id="2" xr3:uid="{746850AD-B8DC-4F80-B631-DB870D988C3D}" name="Category" dataDxfId="15"/>
    <tableColumn id="3" xr3:uid="{0B985642-C35A-474D-BDE1-301486EC8F51}" name="Unit Price" dataDxfId="14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39F3-1AC2-4384-9411-11A9E4248EFD}">
  <dimension ref="A1:G11"/>
  <sheetViews>
    <sheetView workbookViewId="0">
      <selection activeCell="K14" sqref="K14"/>
    </sheetView>
  </sheetViews>
  <sheetFormatPr defaultRowHeight="15" x14ac:dyDescent="0.25"/>
  <cols>
    <col min="1" max="1" width="7.85546875" bestFit="1" customWidth="1"/>
    <col min="2" max="2" width="16" bestFit="1" customWidth="1"/>
    <col min="3" max="3" width="9.28515625" bestFit="1" customWidth="1"/>
    <col min="4" max="4" width="9.85546875" customWidth="1"/>
    <col min="5" max="5" width="1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32</v>
      </c>
    </row>
    <row r="2" spans="1:7" x14ac:dyDescent="0.25">
      <c r="A2" s="2" t="s">
        <v>4</v>
      </c>
      <c r="B2" s="2" t="s">
        <v>14</v>
      </c>
      <c r="C2" s="2" t="s">
        <v>24</v>
      </c>
      <c r="D2" s="2">
        <v>2</v>
      </c>
      <c r="E2" s="2" t="str">
        <f>_xlfn.XLOOKUP(C2,Table2[Product],Table2[Category])</f>
        <v>Electronics</v>
      </c>
      <c r="F2" s="2">
        <f>_xlfn.XLOOKUP(Table14[[#This Row],[Product]],Table2[Product],Table2[Unit Price])</f>
        <v>850</v>
      </c>
      <c r="G2" s="2">
        <f t="shared" ref="G2:G11" si="0">D2*F2</f>
        <v>1700</v>
      </c>
    </row>
    <row r="3" spans="1:7" x14ac:dyDescent="0.25">
      <c r="A3" s="2" t="s">
        <v>5</v>
      </c>
      <c r="B3" s="2" t="s">
        <v>15</v>
      </c>
      <c r="C3" s="2" t="s">
        <v>25</v>
      </c>
      <c r="D3" s="2">
        <v>5</v>
      </c>
      <c r="E3" s="2" t="str">
        <f>_xlfn.XLOOKUP(C3,Table2[Product],Table2[Category])</f>
        <v>Accessories</v>
      </c>
      <c r="F3" s="2">
        <f>_xlfn.XLOOKUP(Table14[[#This Row],[Product]],Table2[Product],Table2[Unit Price])</f>
        <v>25</v>
      </c>
      <c r="G3" s="2">
        <f t="shared" si="0"/>
        <v>125</v>
      </c>
    </row>
    <row r="4" spans="1:7" x14ac:dyDescent="0.25">
      <c r="A4" s="2" t="s">
        <v>6</v>
      </c>
      <c r="B4" s="2" t="s">
        <v>16</v>
      </c>
      <c r="C4" s="2" t="s">
        <v>26</v>
      </c>
      <c r="D4" s="2">
        <v>3</v>
      </c>
      <c r="E4" s="2" t="str">
        <f>_xlfn.XLOOKUP(C4,Table2[Product],Table2[Category])</f>
        <v>Accessories</v>
      </c>
      <c r="F4" s="2">
        <f>_xlfn.XLOOKUP(Table14[[#This Row],[Product]],Table2[Product],Table2[Unit Price])</f>
        <v>45</v>
      </c>
      <c r="G4" s="2">
        <f t="shared" si="0"/>
        <v>135</v>
      </c>
    </row>
    <row r="5" spans="1:7" x14ac:dyDescent="0.25">
      <c r="A5" s="2" t="s">
        <v>7</v>
      </c>
      <c r="B5" s="2" t="s">
        <v>17</v>
      </c>
      <c r="C5" s="2" t="s">
        <v>27</v>
      </c>
      <c r="D5" s="2">
        <v>2</v>
      </c>
      <c r="E5" s="2" t="str">
        <f>_xlfn.XLOOKUP(C5,Table2[Product],Table2[Category])</f>
        <v>Electronics</v>
      </c>
      <c r="F5" s="2">
        <f>_xlfn.XLOOKUP(Table14[[#This Row],[Product]],Table2[Product],Table2[Unit Price])</f>
        <v>220</v>
      </c>
      <c r="G5" s="2">
        <f t="shared" si="0"/>
        <v>440</v>
      </c>
    </row>
    <row r="6" spans="1:7" x14ac:dyDescent="0.25">
      <c r="A6" s="2" t="s">
        <v>8</v>
      </c>
      <c r="B6" s="2" t="s">
        <v>18</v>
      </c>
      <c r="C6" s="2" t="s">
        <v>24</v>
      </c>
      <c r="D6" s="2">
        <v>1</v>
      </c>
      <c r="E6" s="2" t="str">
        <f>_xlfn.XLOOKUP(C6,Table2[Product],Table2[Category])</f>
        <v>Electronics</v>
      </c>
      <c r="F6" s="2">
        <f>_xlfn.XLOOKUP(Table14[[#This Row],[Product]],Table2[Product],Table2[Unit Price])</f>
        <v>850</v>
      </c>
      <c r="G6" s="2">
        <f t="shared" si="0"/>
        <v>850</v>
      </c>
    </row>
    <row r="7" spans="1:7" x14ac:dyDescent="0.25">
      <c r="A7" s="2" t="s">
        <v>9</v>
      </c>
      <c r="B7" s="2" t="s">
        <v>19</v>
      </c>
      <c r="C7" s="2" t="s">
        <v>25</v>
      </c>
      <c r="D7" s="2">
        <v>4</v>
      </c>
      <c r="E7" s="2" t="str">
        <f>_xlfn.XLOOKUP(C7,Table2[Product],Table2[Category])</f>
        <v>Accessories</v>
      </c>
      <c r="F7" s="2">
        <f>_xlfn.XLOOKUP(Table14[[#This Row],[Product]],Table2[Product],Table2[Unit Price])</f>
        <v>25</v>
      </c>
      <c r="G7" s="2">
        <f t="shared" si="0"/>
        <v>100</v>
      </c>
    </row>
    <row r="8" spans="1:7" x14ac:dyDescent="0.25">
      <c r="A8" s="2" t="s">
        <v>10</v>
      </c>
      <c r="B8" s="2" t="s">
        <v>20</v>
      </c>
      <c r="C8" s="2" t="s">
        <v>27</v>
      </c>
      <c r="D8" s="2">
        <v>3</v>
      </c>
      <c r="E8" s="2" t="str">
        <f>_xlfn.XLOOKUP(C8,Table2[Product],Table2[Category])</f>
        <v>Electronics</v>
      </c>
      <c r="F8" s="2">
        <f>_xlfn.XLOOKUP(Table14[[#This Row],[Product]],Table2[Product],Table2[Unit Price])</f>
        <v>220</v>
      </c>
      <c r="G8" s="2">
        <f t="shared" si="0"/>
        <v>660</v>
      </c>
    </row>
    <row r="9" spans="1:7" x14ac:dyDescent="0.25">
      <c r="A9" s="2" t="s">
        <v>11</v>
      </c>
      <c r="B9" s="2" t="s">
        <v>21</v>
      </c>
      <c r="C9" s="2" t="s">
        <v>26</v>
      </c>
      <c r="D9" s="2">
        <v>2</v>
      </c>
      <c r="E9" s="2" t="str">
        <f>_xlfn.XLOOKUP(C9,Table2[Product],Table2[Category])</f>
        <v>Accessories</v>
      </c>
      <c r="F9" s="2">
        <f>_xlfn.XLOOKUP(Table14[[#This Row],[Product]],Table2[Product],Table2[Unit Price])</f>
        <v>45</v>
      </c>
      <c r="G9" s="2">
        <f t="shared" si="0"/>
        <v>90</v>
      </c>
    </row>
    <row r="10" spans="1:7" x14ac:dyDescent="0.25">
      <c r="A10" s="2" t="s">
        <v>12</v>
      </c>
      <c r="B10" s="2" t="s">
        <v>22</v>
      </c>
      <c r="C10" s="2" t="s">
        <v>24</v>
      </c>
      <c r="D10" s="2">
        <v>1</v>
      </c>
      <c r="E10" s="2" t="str">
        <f>_xlfn.XLOOKUP(C10,Table2[Product],Table2[Category])</f>
        <v>Electronics</v>
      </c>
      <c r="F10" s="2">
        <f>_xlfn.XLOOKUP(Table14[[#This Row],[Product]],Table2[Product],Table2[Unit Price])</f>
        <v>850</v>
      </c>
      <c r="G10" s="2">
        <f t="shared" si="0"/>
        <v>850</v>
      </c>
    </row>
    <row r="11" spans="1:7" x14ac:dyDescent="0.25">
      <c r="A11" s="2" t="s">
        <v>13</v>
      </c>
      <c r="B11" s="2" t="s">
        <v>23</v>
      </c>
      <c r="C11" s="2" t="s">
        <v>25</v>
      </c>
      <c r="D11" s="2">
        <v>6</v>
      </c>
      <c r="E11" s="2" t="str">
        <f>_xlfn.XLOOKUP(C11,Table2[Product],Table2[Category])</f>
        <v>Accessories</v>
      </c>
      <c r="F11" s="2">
        <f>_xlfn.XLOOKUP(Table14[[#This Row],[Product]],Table2[Product],Table2[Unit Price])</f>
        <v>25</v>
      </c>
      <c r="G11" s="2">
        <f t="shared" si="0"/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5742-B308-40F5-B039-76BDF865D3BF}">
  <dimension ref="A1:G11"/>
  <sheetViews>
    <sheetView workbookViewId="0">
      <selection activeCell="J7" sqref="J7"/>
    </sheetView>
  </sheetViews>
  <sheetFormatPr defaultRowHeight="15" x14ac:dyDescent="0.25"/>
  <cols>
    <col min="1" max="1" width="7.85546875" bestFit="1" customWidth="1"/>
    <col min="2" max="2" width="16" bestFit="1" customWidth="1"/>
    <col min="3" max="3" width="9.28515625" bestFit="1" customWidth="1"/>
    <col min="4" max="4" width="9.85546875" customWidth="1"/>
    <col min="5" max="5" width="1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32</v>
      </c>
    </row>
    <row r="2" spans="1:7" x14ac:dyDescent="0.25">
      <c r="A2" s="2" t="s">
        <v>4</v>
      </c>
      <c r="B2" s="2" t="s">
        <v>14</v>
      </c>
      <c r="C2" s="2" t="s">
        <v>24</v>
      </c>
      <c r="D2" s="2">
        <v>2</v>
      </c>
      <c r="E2" s="2" t="str">
        <f>_xlfn.XLOOKUP(C2,Table2[Product],Table2[Category])</f>
        <v>Electronics</v>
      </c>
      <c r="F2" s="2">
        <f>_xlfn.XLOOKUP(Table1[[#This Row],[Product]],Table2[Product],Table2[Unit Price])</f>
        <v>850</v>
      </c>
      <c r="G2" s="2">
        <f t="shared" ref="G2:G11" si="0">D2*F2</f>
        <v>1700</v>
      </c>
    </row>
    <row r="3" spans="1:7" x14ac:dyDescent="0.25">
      <c r="A3" s="2" t="s">
        <v>5</v>
      </c>
      <c r="B3" s="2" t="s">
        <v>15</v>
      </c>
      <c r="C3" s="2" t="s">
        <v>25</v>
      </c>
      <c r="D3" s="2">
        <v>5</v>
      </c>
      <c r="E3" s="2" t="str">
        <f>_xlfn.XLOOKUP(C3,Table2[Product],Table2[Category])</f>
        <v>Accessories</v>
      </c>
      <c r="F3" s="2">
        <f>_xlfn.XLOOKUP(Table1[[#This Row],[Product]],Table2[Product],Table2[Unit Price])</f>
        <v>25</v>
      </c>
      <c r="G3" s="2">
        <f t="shared" si="0"/>
        <v>125</v>
      </c>
    </row>
    <row r="4" spans="1:7" x14ac:dyDescent="0.25">
      <c r="A4" s="2" t="s">
        <v>6</v>
      </c>
      <c r="B4" s="2" t="s">
        <v>16</v>
      </c>
      <c r="C4" s="2" t="s">
        <v>26</v>
      </c>
      <c r="D4" s="2">
        <v>3</v>
      </c>
      <c r="E4" s="2" t="str">
        <f>_xlfn.XLOOKUP(C4,Table2[Product],Table2[Category])</f>
        <v>Accessories</v>
      </c>
      <c r="F4" s="2">
        <f>_xlfn.XLOOKUP(Table1[[#This Row],[Product]],Table2[Product],Table2[Unit Price])</f>
        <v>45</v>
      </c>
      <c r="G4" s="2">
        <f t="shared" si="0"/>
        <v>135</v>
      </c>
    </row>
    <row r="5" spans="1:7" x14ac:dyDescent="0.25">
      <c r="A5" s="2" t="s">
        <v>7</v>
      </c>
      <c r="B5" s="2" t="s">
        <v>17</v>
      </c>
      <c r="C5" s="2" t="s">
        <v>27</v>
      </c>
      <c r="D5" s="2">
        <v>2</v>
      </c>
      <c r="E5" s="2" t="str">
        <f>_xlfn.XLOOKUP(C5,Table2[Product],Table2[Category])</f>
        <v>Electronics</v>
      </c>
      <c r="F5" s="2">
        <f>_xlfn.XLOOKUP(Table1[[#This Row],[Product]],Table2[Product],Table2[Unit Price])</f>
        <v>220</v>
      </c>
      <c r="G5" s="2">
        <f t="shared" si="0"/>
        <v>440</v>
      </c>
    </row>
    <row r="6" spans="1:7" x14ac:dyDescent="0.25">
      <c r="A6" s="2" t="s">
        <v>8</v>
      </c>
      <c r="B6" s="2" t="s">
        <v>18</v>
      </c>
      <c r="C6" s="2" t="s">
        <v>24</v>
      </c>
      <c r="D6" s="2">
        <v>1</v>
      </c>
      <c r="E6" s="2" t="str">
        <f>_xlfn.XLOOKUP(C6,Table2[Product],Table2[Category])</f>
        <v>Electronics</v>
      </c>
      <c r="F6" s="2">
        <f>_xlfn.XLOOKUP(Table1[[#This Row],[Product]],Table2[Product],Table2[Unit Price])</f>
        <v>850</v>
      </c>
      <c r="G6" s="2">
        <f t="shared" si="0"/>
        <v>850</v>
      </c>
    </row>
    <row r="7" spans="1:7" x14ac:dyDescent="0.25">
      <c r="A7" s="2" t="s">
        <v>9</v>
      </c>
      <c r="B7" s="2" t="s">
        <v>19</v>
      </c>
      <c r="C7" s="2" t="s">
        <v>25</v>
      </c>
      <c r="D7" s="2">
        <v>4</v>
      </c>
      <c r="E7" s="2" t="str">
        <f>_xlfn.XLOOKUP(C7,Table2[Product],Table2[Category])</f>
        <v>Accessories</v>
      </c>
      <c r="F7" s="2">
        <f>_xlfn.XLOOKUP(Table1[[#This Row],[Product]],Table2[Product],Table2[Unit Price])</f>
        <v>25</v>
      </c>
      <c r="G7" s="2">
        <f t="shared" si="0"/>
        <v>100</v>
      </c>
    </row>
    <row r="8" spans="1:7" x14ac:dyDescent="0.25">
      <c r="A8" s="2" t="s">
        <v>10</v>
      </c>
      <c r="B8" s="2" t="s">
        <v>20</v>
      </c>
      <c r="C8" s="2" t="s">
        <v>27</v>
      </c>
      <c r="D8" s="2">
        <v>3</v>
      </c>
      <c r="E8" s="2" t="str">
        <f>_xlfn.XLOOKUP(C8,Table2[Product],Table2[Category])</f>
        <v>Electronics</v>
      </c>
      <c r="F8" s="2">
        <f>_xlfn.XLOOKUP(Table1[[#This Row],[Product]],Table2[Product],Table2[Unit Price])</f>
        <v>220</v>
      </c>
      <c r="G8" s="2">
        <f t="shared" si="0"/>
        <v>660</v>
      </c>
    </row>
    <row r="9" spans="1:7" x14ac:dyDescent="0.25">
      <c r="A9" s="2" t="s">
        <v>11</v>
      </c>
      <c r="B9" s="2" t="s">
        <v>21</v>
      </c>
      <c r="C9" s="2" t="s">
        <v>26</v>
      </c>
      <c r="D9" s="2">
        <v>2</v>
      </c>
      <c r="E9" s="2" t="str">
        <f>_xlfn.XLOOKUP(C9,Table2[Product],Table2[Category])</f>
        <v>Accessories</v>
      </c>
      <c r="F9" s="2">
        <f>_xlfn.XLOOKUP(Table1[[#This Row],[Product]],Table2[Product],Table2[Unit Price])</f>
        <v>45</v>
      </c>
      <c r="G9" s="2">
        <f t="shared" si="0"/>
        <v>90</v>
      </c>
    </row>
    <row r="10" spans="1:7" x14ac:dyDescent="0.25">
      <c r="A10" s="2" t="s">
        <v>12</v>
      </c>
      <c r="B10" s="2" t="s">
        <v>22</v>
      </c>
      <c r="C10" s="2" t="s">
        <v>24</v>
      </c>
      <c r="D10" s="2">
        <v>1</v>
      </c>
      <c r="E10" s="2" t="str">
        <f>_xlfn.XLOOKUP(C10,Table2[Product],Table2[Category])</f>
        <v>Electronics</v>
      </c>
      <c r="F10" s="2">
        <f>_xlfn.XLOOKUP(Table1[[#This Row],[Product]],Table2[Product],Table2[Unit Price])</f>
        <v>850</v>
      </c>
      <c r="G10" s="2">
        <f t="shared" si="0"/>
        <v>850</v>
      </c>
    </row>
    <row r="11" spans="1:7" x14ac:dyDescent="0.25">
      <c r="A11" s="2" t="s">
        <v>13</v>
      </c>
      <c r="B11" s="2" t="s">
        <v>23</v>
      </c>
      <c r="C11" s="2" t="s">
        <v>25</v>
      </c>
      <c r="D11" s="2">
        <v>6</v>
      </c>
      <c r="E11" s="2" t="str">
        <f>_xlfn.XLOOKUP(C11,Table2[Product],Table2[Category])</f>
        <v>Accessories</v>
      </c>
      <c r="F11" s="2">
        <f>_xlfn.XLOOKUP(Table1[[#This Row],[Product]],Table2[Product],Table2[Unit Price])</f>
        <v>25</v>
      </c>
      <c r="G11" s="2">
        <f t="shared" si="0"/>
        <v>150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8F6B-7A6D-4F4D-B350-8D588822DB68}">
  <dimension ref="A1:C5"/>
  <sheetViews>
    <sheetView workbookViewId="0">
      <selection activeCell="E7" sqref="E7"/>
    </sheetView>
  </sheetViews>
  <sheetFormatPr defaultRowHeight="15" x14ac:dyDescent="0.25"/>
  <cols>
    <col min="1" max="1" width="10" customWidth="1"/>
    <col min="2" max="2" width="11.5703125" bestFit="1" customWidth="1"/>
    <col min="3" max="3" width="12" customWidth="1"/>
  </cols>
  <sheetData>
    <row r="1" spans="1:3" x14ac:dyDescent="0.25">
      <c r="A1" s="3" t="s">
        <v>2</v>
      </c>
      <c r="B1" s="3" t="s">
        <v>28</v>
      </c>
      <c r="C1" s="3" t="s">
        <v>29</v>
      </c>
    </row>
    <row r="2" spans="1:3" x14ac:dyDescent="0.25">
      <c r="A2" s="2" t="s">
        <v>24</v>
      </c>
      <c r="B2" s="2" t="s">
        <v>30</v>
      </c>
      <c r="C2" s="2">
        <v>850</v>
      </c>
    </row>
    <row r="3" spans="1:3" x14ac:dyDescent="0.25">
      <c r="A3" s="2" t="s">
        <v>25</v>
      </c>
      <c r="B3" s="2" t="s">
        <v>31</v>
      </c>
      <c r="C3" s="2">
        <v>25</v>
      </c>
    </row>
    <row r="4" spans="1:3" x14ac:dyDescent="0.25">
      <c r="A4" s="2" t="s">
        <v>26</v>
      </c>
      <c r="B4" s="2" t="s">
        <v>31</v>
      </c>
      <c r="C4" s="2">
        <v>45</v>
      </c>
    </row>
    <row r="5" spans="1:3" x14ac:dyDescent="0.25">
      <c r="A5" s="2" t="s">
        <v>27</v>
      </c>
      <c r="B5" s="2" t="s">
        <v>30</v>
      </c>
      <c r="C5" s="2">
        <v>220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27A9-9B84-4F08-95F0-8400584217FC}">
  <dimension ref="A6:G16"/>
  <sheetViews>
    <sheetView workbookViewId="0">
      <selection activeCell="A8" sqref="A8:C8"/>
    </sheetView>
  </sheetViews>
  <sheetFormatPr defaultRowHeight="15" x14ac:dyDescent="0.25"/>
  <cols>
    <col min="1" max="1" width="11.5703125" bestFit="1" customWidth="1"/>
    <col min="2" max="2" width="10.5703125" bestFit="1" customWidth="1"/>
    <col min="4" max="4" width="7.5703125" bestFit="1" customWidth="1"/>
    <col min="5" max="5" width="7" bestFit="1" customWidth="1"/>
    <col min="6" max="6" width="9.7109375" bestFit="1" customWidth="1"/>
    <col min="7" max="7" width="8.42578125" bestFit="1" customWidth="1"/>
  </cols>
  <sheetData>
    <row r="6" spans="1:7" ht="15.75" x14ac:dyDescent="0.25">
      <c r="A6" s="4" t="s">
        <v>33</v>
      </c>
      <c r="B6" s="4"/>
      <c r="C6" s="4"/>
    </row>
    <row r="7" spans="1:7" ht="15.75" x14ac:dyDescent="0.25">
      <c r="A7" s="4" t="s">
        <v>32</v>
      </c>
      <c r="B7" s="4"/>
      <c r="C7" s="4"/>
      <c r="D7">
        <f>SUM(Orders!G:G)</f>
        <v>5100</v>
      </c>
    </row>
    <row r="8" spans="1:7" ht="15.75" x14ac:dyDescent="0.25">
      <c r="A8" s="4" t="s">
        <v>34</v>
      </c>
      <c r="B8" s="4"/>
      <c r="C8" s="4"/>
      <c r="D8">
        <f>SUM(Orders!D:D)</f>
        <v>29</v>
      </c>
    </row>
    <row r="9" spans="1:7" ht="15.75" x14ac:dyDescent="0.25">
      <c r="A9" s="4" t="s">
        <v>35</v>
      </c>
      <c r="B9" s="4"/>
      <c r="C9" s="4"/>
      <c r="D9">
        <f>AVERAGE(Orders!G:G)</f>
        <v>510</v>
      </c>
    </row>
    <row r="10" spans="1:7" ht="15.75" x14ac:dyDescent="0.25">
      <c r="A10" s="4" t="s">
        <v>36</v>
      </c>
      <c r="B10" s="4"/>
      <c r="C10" s="4"/>
      <c r="D10" s="5" t="s">
        <v>24</v>
      </c>
      <c r="E10" s="5" t="s">
        <v>25</v>
      </c>
      <c r="F10" s="5" t="s">
        <v>26</v>
      </c>
      <c r="G10" s="5" t="s">
        <v>27</v>
      </c>
    </row>
    <row r="11" spans="1:7" ht="15.75" x14ac:dyDescent="0.25">
      <c r="A11" s="4" t="s">
        <v>32</v>
      </c>
      <c r="B11" s="4"/>
      <c r="C11" s="4"/>
      <c r="D11">
        <f>SUMIF(Table1[Product],Analysis!D10,Table1[Total Sales])</f>
        <v>3400</v>
      </c>
      <c r="E11">
        <f>SUMIF(Table1[Product],Analysis!E10,Table1[Total Sales])</f>
        <v>375</v>
      </c>
      <c r="F11">
        <f>SUMIF(Table1[Product],Analysis!F10,Table1[Total Sales])</f>
        <v>225</v>
      </c>
      <c r="G11">
        <f>SUMIF(Table1[Product],"Monitor",Table1[Total Sales])</f>
        <v>1100</v>
      </c>
    </row>
    <row r="13" spans="1:7" ht="15.75" x14ac:dyDescent="0.25">
      <c r="A13" s="4" t="s">
        <v>37</v>
      </c>
      <c r="B13" s="4"/>
      <c r="C13" s="4"/>
    </row>
    <row r="14" spans="1:7" x14ac:dyDescent="0.25">
      <c r="A14" t="s">
        <v>28</v>
      </c>
      <c r="B14" t="s">
        <v>32</v>
      </c>
    </row>
    <row r="15" spans="1:7" x14ac:dyDescent="0.25">
      <c r="A15" t="s">
        <v>30</v>
      </c>
      <c r="B15">
        <f>SUMIF(Table1[Category],Analysis!A15,Table1[Total Sales])</f>
        <v>4500</v>
      </c>
    </row>
    <row r="16" spans="1:7" x14ac:dyDescent="0.25">
      <c r="A16" t="s">
        <v>31</v>
      </c>
      <c r="B16">
        <f>SUMIF(Table1[Category],Analysis!A16,Table1[Total Sales])</f>
        <v>600</v>
      </c>
    </row>
  </sheetData>
  <mergeCells count="7">
    <mergeCell ref="A13:C13"/>
    <mergeCell ref="A6:C6"/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D0F6-CD85-4A4D-82F6-374BED39BDC1}">
  <dimension ref="A3:B8"/>
  <sheetViews>
    <sheetView tabSelected="1" workbookViewId="0">
      <selection activeCell="J2" sqref="J2"/>
    </sheetView>
  </sheetViews>
  <sheetFormatPr defaultRowHeight="15" x14ac:dyDescent="0.25"/>
  <cols>
    <col min="1" max="1" width="13.42578125" bestFit="1" customWidth="1"/>
    <col min="2" max="2" width="17.7109375" bestFit="1" customWidth="1"/>
  </cols>
  <sheetData>
    <row r="3" spans="1:2" x14ac:dyDescent="0.25">
      <c r="A3" s="6" t="s">
        <v>38</v>
      </c>
      <c r="B3" t="s">
        <v>40</v>
      </c>
    </row>
    <row r="4" spans="1:2" x14ac:dyDescent="0.25">
      <c r="A4" s="7" t="s">
        <v>26</v>
      </c>
      <c r="B4" s="8">
        <v>225</v>
      </c>
    </row>
    <row r="5" spans="1:2" x14ac:dyDescent="0.25">
      <c r="A5" s="7" t="s">
        <v>24</v>
      </c>
      <c r="B5" s="8">
        <v>3400</v>
      </c>
    </row>
    <row r="6" spans="1:2" x14ac:dyDescent="0.25">
      <c r="A6" s="7" t="s">
        <v>27</v>
      </c>
      <c r="B6" s="8">
        <v>1100</v>
      </c>
    </row>
    <row r="7" spans="1:2" x14ac:dyDescent="0.25">
      <c r="A7" s="7" t="s">
        <v>25</v>
      </c>
      <c r="B7" s="8">
        <v>375</v>
      </c>
    </row>
    <row r="8" spans="1:2" x14ac:dyDescent="0.25">
      <c r="A8" s="7" t="s">
        <v>39</v>
      </c>
      <c r="B8" s="8">
        <v>5100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 (2)</vt:lpstr>
      <vt:lpstr>Orders</vt:lpstr>
      <vt:lpstr>Product</vt:lpstr>
      <vt:lpstr>Analysis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fethi fethi</dc:creator>
  <cp:lastModifiedBy>fethi fethi</cp:lastModifiedBy>
  <dcterms:created xsi:type="dcterms:W3CDTF">2026-09-19T19:59:36Z</dcterms:created>
  <dcterms:modified xsi:type="dcterms:W3CDTF">2026-09-19T21:38:45Z</dcterms:modified>
</cp:coreProperties>
</file>